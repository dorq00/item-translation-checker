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Y DRIVE\2 - GLAP &amp; IMP\IMP Customs\HS Code Processor\2 - Translations\"/>
    </mc:Choice>
  </mc:AlternateContent>
  <xr:revisionPtr revIDLastSave="0" documentId="13_ncr:1_{7EDCD0E1-7AB4-4BEB-A34B-71CCFFF3C4A6}" xr6:coauthVersionLast="47" xr6:coauthVersionMax="47" xr10:uidLastSave="{00000000-0000-0000-0000-000000000000}"/>
  <bookViews>
    <workbookView xWindow="-108" yWindow="-108" windowWidth="30936" windowHeight="16776" activeTab="6" xr2:uid="{00000000-000D-0000-FFFF-FFFF00000000}"/>
  </bookViews>
  <sheets>
    <sheet name="HS Codes" sheetId="3" r:id="rId1"/>
    <sheet name="data" sheetId="4" r:id="rId2"/>
    <sheet name="PivotHelp" sheetId="5" r:id="rId3"/>
    <sheet name="HScode form" sheetId="1" r:id="rId4"/>
    <sheet name="KSA-HS CODE" sheetId="12" r:id="rId5"/>
    <sheet name="Help" sheetId="11" r:id="rId6"/>
    <sheet name="DATA DETAILS" sheetId="13" r:id="rId7"/>
    <sheet name="Working" sheetId="7" state="hidden" r:id="rId8"/>
    <sheet name="Sheet2" sheetId="9" state="hidden" r:id="rId9"/>
  </sheets>
  <definedNames>
    <definedName name="_xlnm._FilterDatabase" localSheetId="1" hidden="1">data!$A$5:$R$6</definedName>
    <definedName name="_xlnm._FilterDatabase" localSheetId="6" hidden="1">'DATA DETAILS'!$A$1:$S$203</definedName>
    <definedName name="_xlnm._FilterDatabase" localSheetId="0" hidden="1">'HS Codes'!$A$1:$B$52</definedName>
    <definedName name="_xlnm.Print_Area" localSheetId="3">'HScode form'!$B$2:$I$54</definedName>
    <definedName name="_xlnm.Print_Titles" localSheetId="3">'HScode form'!$3:$4</definedName>
  </definedNames>
  <calcPr calcId="191029"/>
  <pivotCaches>
    <pivotCache cacheId="0" r:id="rId10"/>
    <pivotCache cacheId="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4" l="1"/>
  <c r="B4" i="11" l="1"/>
  <c r="B5" i="11" s="1"/>
  <c r="N3" i="4" l="1"/>
  <c r="U1" i="4" s="1"/>
  <c r="J1" i="5"/>
  <c r="T6" i="4" l="1"/>
  <c r="H46" i="1" l="1"/>
  <c r="P15" i="5"/>
  <c r="F46" i="1" l="1"/>
  <c r="D46" i="1" s="1"/>
  <c r="G46" i="1" l="1"/>
  <c r="T2" i="4" l="1"/>
  <c r="U2" i="4" s="1"/>
  <c r="U6" i="4" s="1"/>
  <c r="V1" i="4" l="1"/>
  <c r="V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3" savePassword="1" background="1" saveData="1">
    <dbPr connection="DRIVER={Microsoft ODBC for Oracle};UID=svc;PWD=svc;SERVER=LGEME;" command="SELECT TS_EXPORT_BL_H.INVOICE_NO, TS_EXPORT_BL_H.INVOICE_DT, TS_EXPORT_BL_H.CUST_CD, TS_PART.HS_NO, TS_CARTON_D.PART_NO, TS_CARTON_D.PART_DESC, TS_CARTON_D.PACK_QTY_x000d__x000a_FROM RICSVC.TS_CARTON_D TS_CARTON_D, RICSVC.TS_EXPORT_BL_D TS_EXPORT_BL_D, RICSVC.TS_EXPORT_BL_H TS_EXPORT_BL_H, SVC.TS_PART TS_PART_x000d__x000a_WHERE TS_EXPORT_BL_D.INVOICE_NO = TS_EXPORT_BL_H.INVOICE_NO AND TS_EXPORT_BL_D.CARTON_NO = TS_CARTON_D.CARTON_NO AND TS_CARTON_D.PART_NO = TS_PART.PART_NO AND ((TS_EXPORT_BL_H.INVOICE_DT&gt;{ts '2009-03-01 00:00:00'}))"/>
  </connection>
</connections>
</file>

<file path=xl/sharedStrings.xml><?xml version="1.0" encoding="utf-8"?>
<sst xmlns="http://schemas.openxmlformats.org/spreadsheetml/2006/main" count="2579" uniqueCount="736">
  <si>
    <t>Parts of Electronic integrated circuit and micro Assy</t>
  </si>
  <si>
    <t>GSM Plastic part</t>
  </si>
  <si>
    <t>GSM accessories - Ariel or Antenna</t>
  </si>
  <si>
    <t>GSM accessories - Internal connectors</t>
  </si>
  <si>
    <t>GSM accessories - Diode LED</t>
  </si>
  <si>
    <t>GSM accessories - Buttons &amp; Keypad</t>
  </si>
  <si>
    <t>GSM accessories - DC motors (internal parts)</t>
  </si>
  <si>
    <t>GSM accessories - Screw &amp; nuts for service</t>
  </si>
  <si>
    <t>GSM accessories - Parts of Plastic</t>
  </si>
  <si>
    <t>Electronic Power Adaptors</t>
  </si>
  <si>
    <t>Baskets, of plastics.</t>
  </si>
  <si>
    <t>Lamp Mercury or sodium</t>
  </si>
  <si>
    <t>Remote control</t>
  </si>
  <si>
    <t>Parts - Camera part for mobile/Laptop</t>
  </si>
  <si>
    <t>Accessories - Cables fitted with connectors</t>
  </si>
  <si>
    <t>GSM-Accessories Leather, Bag</t>
  </si>
  <si>
    <t xml:space="preserve">GSM Display - LCD </t>
  </si>
  <si>
    <t>PCS</t>
  </si>
  <si>
    <t>COUNTRY OF ORIGIN</t>
  </si>
  <si>
    <t>DESCRIPTION OF GOODS</t>
  </si>
  <si>
    <t>H.S. CODE</t>
  </si>
  <si>
    <t>WEIGHT (IN KILOS)</t>
  </si>
  <si>
    <t xml:space="preserve">HS CODE FORM </t>
  </si>
  <si>
    <t>TV (PRODUCT)</t>
  </si>
  <si>
    <t>Carton No</t>
  </si>
  <si>
    <t>Ship To</t>
  </si>
  <si>
    <t>Customer Name</t>
  </si>
  <si>
    <t>Ship Method</t>
  </si>
  <si>
    <t>FOB Condition</t>
  </si>
  <si>
    <t>Item</t>
  </si>
  <si>
    <t>Item Desc</t>
  </si>
  <si>
    <t>Product</t>
  </si>
  <si>
    <t>Order No</t>
  </si>
  <si>
    <t>Line No</t>
  </si>
  <si>
    <t>Quantity</t>
  </si>
  <si>
    <t>U-Price</t>
  </si>
  <si>
    <t>Amount</t>
  </si>
  <si>
    <t>HS Code</t>
  </si>
  <si>
    <t>Origin</t>
  </si>
  <si>
    <t>Sum of Quantity</t>
  </si>
  <si>
    <t>Data</t>
  </si>
  <si>
    <t>Sum of Amount</t>
  </si>
  <si>
    <t>Accessories Headphone/Earphone</t>
  </si>
  <si>
    <t>Description</t>
  </si>
  <si>
    <t>AMOUNT US $</t>
  </si>
  <si>
    <t>KGS</t>
  </si>
  <si>
    <t>CBM</t>
  </si>
  <si>
    <t>PCK</t>
  </si>
  <si>
    <t>INVOICE</t>
  </si>
  <si>
    <t>Copy data to the worksheet = data</t>
  </si>
  <si>
    <t>To Calculate Total Weight</t>
  </si>
  <si>
    <t>Refresh both the highlighted Pivot table</t>
  </si>
  <si>
    <t>Copy data from the Pivot table to worksheet = HScode form (Copy Field)</t>
  </si>
  <si>
    <t>To copy the HS Code to the blank column</t>
  </si>
  <si>
    <t>Select the HS Codes including the Blank columns</t>
  </si>
  <si>
    <t>CNTRL + G -&gt; Specials -&gt; Blank</t>
  </si>
  <si>
    <t>Press = &amp;            &amp; CNTRL + ENTER</t>
  </si>
  <si>
    <t>Original Part No.</t>
  </si>
  <si>
    <t>Model</t>
  </si>
  <si>
    <t>(blank)</t>
  </si>
  <si>
    <t>GSM part for Mobile Phone</t>
  </si>
  <si>
    <t>MOBILE code for AL SAYEGH</t>
  </si>
  <si>
    <t>AKIDA #4943</t>
  </si>
  <si>
    <t>Switch Assembly</t>
  </si>
  <si>
    <t>Motor Assembly</t>
  </si>
  <si>
    <t>Valve Assembly</t>
  </si>
  <si>
    <t>Filter Assembly</t>
  </si>
  <si>
    <t>Compressor Set Assembly</t>
  </si>
  <si>
    <t>Pump Assembly</t>
  </si>
  <si>
    <t>Hose Assembly</t>
  </si>
  <si>
    <t>Accessories for Batteries</t>
  </si>
  <si>
    <t>Customer ref</t>
  </si>
  <si>
    <t>ZA000001</t>
  </si>
  <si>
    <t>LG ELECTRONICS SOUTH AFRICA</t>
  </si>
  <si>
    <t>SEA</t>
  </si>
  <si>
    <t>CFR</t>
  </si>
  <si>
    <t>AC</t>
  </si>
  <si>
    <t>CTN3083902901</t>
  </si>
  <si>
    <t>Louver,Horizontal,Foreign Sourcing Foreign Sale</t>
  </si>
  <si>
    <t>ESNH1865EA1.EMBAEEU</t>
  </si>
  <si>
    <t>TURKEY</t>
  </si>
  <si>
    <t>Motor Assembly,DC,Foreign Sourcing Foreign Sale</t>
  </si>
  <si>
    <t>ESNH126E4M0.EMBAEEU</t>
  </si>
  <si>
    <t>PCB,Main,Foreign Sourcing Foreign Sale</t>
  </si>
  <si>
    <t>ESUW126BWS0.ENCBYUK</t>
  </si>
  <si>
    <t>CTN3084441301</t>
  </si>
  <si>
    <t>Foreign Sourcing Foreign Sale</t>
  </si>
  <si>
    <t>ESUH0964DM1.EMBAEEU</t>
  </si>
  <si>
    <t>CONSIGNOR SIGNATURE &amp; STAMP</t>
  </si>
  <si>
    <t>Spare part for Airconditioner</t>
  </si>
  <si>
    <t>Spare part for Refrigerator</t>
  </si>
  <si>
    <t xml:space="preserve">Spare part for Washing Machine </t>
  </si>
  <si>
    <t>Spare part for PC</t>
  </si>
  <si>
    <t>Spare part for Vaccum Cleaner (Home / Appliance )</t>
  </si>
  <si>
    <t xml:space="preserve">Spare part for Microwave (Cooking / Appliance ) </t>
  </si>
  <si>
    <t>Spare part for AV</t>
  </si>
  <si>
    <t>Spare part for TV/Monitor/CS</t>
  </si>
  <si>
    <t>Spare part for Air Purifier</t>
  </si>
  <si>
    <t xml:space="preserve">Spare part for Vaccum cleaner h/appliance </t>
  </si>
  <si>
    <t>Spare part for MICROWAVE</t>
  </si>
  <si>
    <t>Name</t>
  </si>
  <si>
    <t>Date Time</t>
  </si>
  <si>
    <t>FileName</t>
  </si>
  <si>
    <t>Save Path</t>
  </si>
  <si>
    <t>Unadjusted Weight</t>
  </si>
  <si>
    <t>Final Weight</t>
  </si>
  <si>
    <t>Sum of Final Weight</t>
  </si>
  <si>
    <t>Fill Weight Here ---&gt;</t>
  </si>
  <si>
    <t>Spare parts for Mobile Phone Battery / IECEE</t>
  </si>
  <si>
    <t>Spare part for Vaccum Cleaner (Home / Appliance ) / Household / HA</t>
  </si>
  <si>
    <t>Spare part for Microwave (Cooking / Appliance )  / CA</t>
  </si>
  <si>
    <t>Spare part for AV DVD / AO</t>
  </si>
  <si>
    <t>Spare part for TV / HT / CS / MONITOR (MN) / PC</t>
  </si>
  <si>
    <t>Spare parts - Compressor</t>
  </si>
  <si>
    <t xml:space="preserve">Spare parts - Motor </t>
  </si>
  <si>
    <t>WM</t>
  </si>
  <si>
    <t>RF</t>
  </si>
  <si>
    <t>AV</t>
  </si>
  <si>
    <t>CA</t>
  </si>
  <si>
    <t>AO</t>
  </si>
  <si>
    <t>TV</t>
  </si>
  <si>
    <t>VC</t>
  </si>
  <si>
    <t>MN</t>
  </si>
  <si>
    <t>Product CODE</t>
  </si>
  <si>
    <t>Product Name</t>
  </si>
  <si>
    <t xml:space="preserve">HS Code </t>
  </si>
  <si>
    <t>Trade Mark</t>
  </si>
  <si>
    <t>SABER</t>
  </si>
  <si>
    <t>UPDATED SABER</t>
  </si>
  <si>
    <t>Spare parts for TV/Monitor</t>
  </si>
  <si>
    <t>LG</t>
  </si>
  <si>
    <t>Non Regulated</t>
  </si>
  <si>
    <t>HT</t>
  </si>
  <si>
    <t>CS</t>
  </si>
  <si>
    <t>Spare parts for AV/AO</t>
  </si>
  <si>
    <t>Spare parts for Microwave (Cooking / Appliance )</t>
  </si>
  <si>
    <t>Spare parts for Refrigerator</t>
  </si>
  <si>
    <t>Spare parts for Air conditioner</t>
  </si>
  <si>
    <t>Spare parts for Washing Machine</t>
  </si>
  <si>
    <t>HA</t>
  </si>
  <si>
    <t>Spare parts for Vacuum Cleaner (Home / Appliance )</t>
  </si>
  <si>
    <t>PC</t>
  </si>
  <si>
    <t>Spare parts for PC</t>
  </si>
  <si>
    <t>MC</t>
  </si>
  <si>
    <t>Spare parts for Mobile Phones</t>
  </si>
  <si>
    <t>Spare parts for Airconditioner Compressor</t>
  </si>
  <si>
    <t>Regulated</t>
  </si>
  <si>
    <t>Spare parts for Refrigerator Compressor</t>
  </si>
  <si>
    <t>Spare parts for Motor</t>
  </si>
  <si>
    <t>HC</t>
  </si>
  <si>
    <t>Power Cord or Cable Assembly</t>
  </si>
  <si>
    <t>Cleaning Agent - Detergent</t>
  </si>
  <si>
    <t>C:\Users\LG\Desktop\LGEME - work</t>
  </si>
  <si>
    <t>Original Part No</t>
  </si>
  <si>
    <t>Customer PO</t>
  </si>
  <si>
    <t xml:space="preserve">Spare parts for Vaccum Cleaner Battery </t>
  </si>
  <si>
    <t>Washing Tub Cleaner</t>
  </si>
  <si>
    <t>Spare parts for Air Purifier</t>
  </si>
  <si>
    <t>CTN6053813001</t>
  </si>
  <si>
    <t>DZ000629</t>
  </si>
  <si>
    <t>LG Electronics Algerie SARL</t>
  </si>
  <si>
    <t>AIR</t>
  </si>
  <si>
    <t>CPT</t>
  </si>
  <si>
    <t>AEB75484909</t>
  </si>
  <si>
    <t>Grille Assembly,Fan</t>
  </si>
  <si>
    <t>GC-B22FTLFL.APZPEAS</t>
  </si>
  <si>
    <t>CHINA</t>
  </si>
  <si>
    <t>MCK69193941</t>
  </si>
  <si>
    <t>Cover,Hinge</t>
  </si>
  <si>
    <t>GC-J267SLSS.APZPEAL</t>
  </si>
  <si>
    <t>EBR87100817</t>
  </si>
  <si>
    <t>EBR44612824</t>
  </si>
  <si>
    <t>PCB Assembly,Main</t>
  </si>
  <si>
    <t>T1388NEHV2.DBMPMEA</t>
  </si>
  <si>
    <t>EAD65945928</t>
  </si>
  <si>
    <t>Harness,Multi</t>
  </si>
  <si>
    <t>V2-B128DX3E.ABLQSBT</t>
  </si>
  <si>
    <t>ADL73901321</t>
  </si>
  <si>
    <t>Evaporator Assembly</t>
  </si>
  <si>
    <t>SXB535NS.ANSPDEL</t>
  </si>
  <si>
    <t>ACQ88048103</t>
  </si>
  <si>
    <t>Cover Assembly,Front</t>
  </si>
  <si>
    <t>XD74P.APZPDEL</t>
  </si>
  <si>
    <t>ADL74681001</t>
  </si>
  <si>
    <t>ADL74681003</t>
  </si>
  <si>
    <t>GN-B402SLCB.APZRALY</t>
  </si>
  <si>
    <t>INDONESIA</t>
  </si>
  <si>
    <t>EAY65170412</t>
  </si>
  <si>
    <t>Power Supply Assembly</t>
  </si>
  <si>
    <t>OLED65E9PTA.AAU</t>
  </si>
  <si>
    <t>AGL30037553</t>
  </si>
  <si>
    <t>Panel Assembly,Control</t>
  </si>
  <si>
    <t>DFB425FP.APZQEAS</t>
  </si>
  <si>
    <t>ADD74056940</t>
  </si>
  <si>
    <t>Door Foam Assembly,Freezer</t>
  </si>
  <si>
    <t>GC-B559PLCZ.APZPLTK</t>
  </si>
  <si>
    <t>AGL30116074</t>
  </si>
  <si>
    <t>F4V9BCP2EE.ABLQAAS</t>
  </si>
  <si>
    <t>EBR33119122</t>
  </si>
  <si>
    <t>PCB Assembly,Display(Onboarding)</t>
  </si>
  <si>
    <t>F4V7RYW2PE.APTQEAS</t>
  </si>
  <si>
    <t>AGM75469810</t>
  </si>
  <si>
    <t>AGM75469801</t>
  </si>
  <si>
    <t>Dispenser,Parts Assembly,SVC</t>
  </si>
  <si>
    <t>XD74S.AESPDEL</t>
  </si>
  <si>
    <t>ACQ89039604</t>
  </si>
  <si>
    <t>Cover Assembly,Tub</t>
  </si>
  <si>
    <t>F4J8FHP2W.ABWPLTK</t>
  </si>
  <si>
    <t>MDS66651629</t>
  </si>
  <si>
    <t>Gasket</t>
  </si>
  <si>
    <t>F4V5RGP2T.ASSPMEA</t>
  </si>
  <si>
    <t>CTN6055349201</t>
  </si>
  <si>
    <t>EBR73747601</t>
  </si>
  <si>
    <t>Hand Insert PCB Assembly</t>
  </si>
  <si>
    <t>50PA4520.AFT</t>
  </si>
  <si>
    <t>AEB76295401</t>
  </si>
  <si>
    <t>GN-B502PQGB.ADSQMEA</t>
  </si>
  <si>
    <t>CTN6055475701</t>
  </si>
  <si>
    <t>EAJ65906310</t>
  </si>
  <si>
    <t>EAJ65906399</t>
  </si>
  <si>
    <t>OLED Module Assembly</t>
  </si>
  <si>
    <t>OLED55CS4VA.AFU</t>
  </si>
  <si>
    <t>CTN6057466901</t>
  </si>
  <si>
    <t>EAD64947362</t>
  </si>
  <si>
    <t>ADQ73693903</t>
  </si>
  <si>
    <t>Filter Assembly,Water</t>
  </si>
  <si>
    <t>SXB55SS.ANSPDE1</t>
  </si>
  <si>
    <t>MJS63771903</t>
  </si>
  <si>
    <t>Tray,Glass</t>
  </si>
  <si>
    <t>MS2535GIS.BWHQEAS</t>
  </si>
  <si>
    <t>EBR89262704</t>
  </si>
  <si>
    <t>EBR89262705</t>
  </si>
  <si>
    <t>PCB Assembly,Fan</t>
  </si>
  <si>
    <t>ARUN120LTH5.EWGBIBR</t>
  </si>
  <si>
    <t>AEH33405605</t>
  </si>
  <si>
    <t>Hinge Assembly,Upper</t>
  </si>
  <si>
    <t>GR-M6780DID.APZQAGE</t>
  </si>
  <si>
    <t>EBU66306591</t>
  </si>
  <si>
    <t>Mainboard,BPR Total Assembly,SVC</t>
  </si>
  <si>
    <t>55NANO856PA.AEU</t>
  </si>
  <si>
    <t>ADQ74693702</t>
  </si>
  <si>
    <t>Filter Assembly,Mesh</t>
  </si>
  <si>
    <t>DBC425TS.AASPMEA</t>
  </si>
  <si>
    <t>AGB74152502</t>
  </si>
  <si>
    <t>Nozzle Assembly</t>
  </si>
  <si>
    <t>AEZ75473507</t>
  </si>
  <si>
    <t>Knob Assembly</t>
  </si>
  <si>
    <t>F4R5TYG0W.ABWPEEC</t>
  </si>
  <si>
    <t>EAT65166902</t>
  </si>
  <si>
    <t>70UP8050PVB.AMAG</t>
  </si>
  <si>
    <t>EAT65166901</t>
  </si>
  <si>
    <t>EBR34026902</t>
  </si>
  <si>
    <t>PCB Assembly,Filter</t>
  </si>
  <si>
    <t>AUUW55GT6.ATRGIBR</t>
  </si>
  <si>
    <t>EBR32965160</t>
  </si>
  <si>
    <t>GC-X257CSES.ABSREEF</t>
  </si>
  <si>
    <t>AGM30045803</t>
  </si>
  <si>
    <t>Lamp,Parts Assembly,SVC</t>
  </si>
  <si>
    <t>WDK2105TPHC.ASSPELF</t>
  </si>
  <si>
    <t>6411EL1001K</t>
  </si>
  <si>
    <t>Power Cord Assembly</t>
  </si>
  <si>
    <t>CS4001AR.AKOR</t>
  </si>
  <si>
    <t>EAY65769224</t>
  </si>
  <si>
    <t>50UN7240PVG.AFPE</t>
  </si>
  <si>
    <t>EAD65893702</t>
  </si>
  <si>
    <t>Cable,FFC</t>
  </si>
  <si>
    <t>43UP7750PVB.AMFG</t>
  </si>
  <si>
    <t>AHT75335002</t>
  </si>
  <si>
    <t>Shelf Assembly,Refrigerator</t>
  </si>
  <si>
    <t>GR-X267CQES.AMCQMEA</t>
  </si>
  <si>
    <t>EBT66980520</t>
  </si>
  <si>
    <t>Chassis Assembly</t>
  </si>
  <si>
    <t>50UQ80006LD.AMRG</t>
  </si>
  <si>
    <t>ADW73389901</t>
  </si>
  <si>
    <t>Funnel Assembly</t>
  </si>
  <si>
    <t>SXB53W.ASWPDEL</t>
  </si>
  <si>
    <t>EBR83263205</t>
  </si>
  <si>
    <t>PCB Assembly,Display</t>
  </si>
  <si>
    <t>T1369NEFT.ABWPEEC</t>
  </si>
  <si>
    <t>5221EN2001K</t>
  </si>
  <si>
    <t>Valve Assembly,Inlet</t>
  </si>
  <si>
    <t>EBJ62950301</t>
  </si>
  <si>
    <t>Transformer,power</t>
  </si>
  <si>
    <t>LF761S.FSTUEAS</t>
  </si>
  <si>
    <t>MAN62329701</t>
  </si>
  <si>
    <t>Basket,Door</t>
  </si>
  <si>
    <t>GR-T290GLX.APVPDLM</t>
  </si>
  <si>
    <t>MAN62329401</t>
  </si>
  <si>
    <t>MAN62329601</t>
  </si>
  <si>
    <t>EBR62255203</t>
  </si>
  <si>
    <t>GR-B399BLQK.CPVQESA</t>
  </si>
  <si>
    <t>3390W1G004E</t>
  </si>
  <si>
    <t>3390W1A044B</t>
  </si>
  <si>
    <t>MS2648S.TSLQMEC</t>
  </si>
  <si>
    <t>EBR76570614</t>
  </si>
  <si>
    <t>USUW186K3W0.ENCBNAS</t>
  </si>
  <si>
    <t>EBR79266910</t>
  </si>
  <si>
    <t>PCB Assembly,Sub</t>
  </si>
  <si>
    <t>ARNU18GL2G4.ENCBLEU</t>
  </si>
  <si>
    <t>EBR79266907</t>
  </si>
  <si>
    <t>ARNU09GL1G4.ENCBLEU</t>
  </si>
  <si>
    <t>AJR75643201</t>
  </si>
  <si>
    <t>Tube Assembly,Expansion</t>
  </si>
  <si>
    <t>EBR61673704</t>
  </si>
  <si>
    <t>T8517TEFT0.ABWQESA</t>
  </si>
  <si>
    <t>3108ER1001E</t>
  </si>
  <si>
    <t>Casing,Pump</t>
  </si>
  <si>
    <t>WM4070HVA.ASSEEUS</t>
  </si>
  <si>
    <t>EAD60721411</t>
  </si>
  <si>
    <t>Harness Assembly</t>
  </si>
  <si>
    <t>6601ER1006M</t>
  </si>
  <si>
    <t>6601ER1006F</t>
  </si>
  <si>
    <t>Switch Assembly,Pressure</t>
  </si>
  <si>
    <t>F1443KD.ABWQEAS</t>
  </si>
  <si>
    <t>EBF61215202</t>
  </si>
  <si>
    <t>Switch Assembly,Locker</t>
  </si>
  <si>
    <t>T4632V0Z.AKOR</t>
  </si>
  <si>
    <t>AHL72914402</t>
  </si>
  <si>
    <t>Rotor Assembly</t>
  </si>
  <si>
    <t>WM8000HVA.ASSEEUS</t>
  </si>
  <si>
    <t>EBZ62518641</t>
  </si>
  <si>
    <t>Burner,Outsourcing SVC</t>
  </si>
  <si>
    <t>LF98V05S.ESTZLGF</t>
  </si>
  <si>
    <t>4681833001Q</t>
  </si>
  <si>
    <t>Motor Assembly,AC</t>
  </si>
  <si>
    <t>VC4220NHTR.BKRQLTK</t>
  </si>
  <si>
    <t>EBU62307342</t>
  </si>
  <si>
    <t>BPR Total Assembly</t>
  </si>
  <si>
    <t>50PN4500.AFF</t>
  </si>
  <si>
    <t>5300JR1014P</t>
  </si>
  <si>
    <t>Heater,Sheath</t>
  </si>
  <si>
    <t>GC-B207GLQV.APVPEAS</t>
  </si>
  <si>
    <t>383EER2001G</t>
  </si>
  <si>
    <t>Filter,Parts Assembly,SVC</t>
  </si>
  <si>
    <t>F1022QD.ABWQESM</t>
  </si>
  <si>
    <t>ADL31244954</t>
  </si>
  <si>
    <t>MKK62342301</t>
  </si>
  <si>
    <t>Bucket,Ice</t>
  </si>
  <si>
    <t>AJU36719728</t>
  </si>
  <si>
    <t>ARNH08GK3A2.ENWALEU</t>
  </si>
  <si>
    <t>AEH74156802</t>
  </si>
  <si>
    <t>GR-B471BF.APZQAGE</t>
  </si>
  <si>
    <t>5221EA1009C</t>
  </si>
  <si>
    <t>WD951606RCH.ABWPKOS</t>
  </si>
  <si>
    <t>EBU63174026</t>
  </si>
  <si>
    <t>43LF6300.AGS</t>
  </si>
  <si>
    <t>EBR66367422</t>
  </si>
  <si>
    <t>ABNQ54GRLT0.ANWBDXB</t>
  </si>
  <si>
    <t>AHT74233801</t>
  </si>
  <si>
    <t>Shelf Assembly,Freezer</t>
  </si>
  <si>
    <t>GR-B802HLPL.APZPEAL</t>
  </si>
  <si>
    <t>4781JR2003U</t>
  </si>
  <si>
    <t>Controller Assembly</t>
  </si>
  <si>
    <t>EBR79266803</t>
  </si>
  <si>
    <t>ARNU36GBGA4.ENCBUAE</t>
  </si>
  <si>
    <t>EBR66367421</t>
  </si>
  <si>
    <t>ABNQ42GRLA0.ANWBASA</t>
  </si>
  <si>
    <t>3390W1G006B</t>
  </si>
  <si>
    <t>MS5647GR.CWHQBRL</t>
  </si>
  <si>
    <t>5421JQ0023A</t>
  </si>
  <si>
    <t>GC-409GP.CEWPDLM</t>
  </si>
  <si>
    <t>ADQ73273202</t>
  </si>
  <si>
    <t>Filter Assembly,Air Cleaner</t>
  </si>
  <si>
    <t>GN-B702GSPW.AAVPLTK</t>
  </si>
  <si>
    <t>4738EN2003A</t>
  </si>
  <si>
    <t>Bellows</t>
  </si>
  <si>
    <t>WD-80300NP.AOWPPTP</t>
  </si>
  <si>
    <t>4026DD3002A</t>
  </si>
  <si>
    <t>Locker,Lock</t>
  </si>
  <si>
    <t>LD-4324WH.ABWPECC</t>
  </si>
  <si>
    <t>EBR82899210</t>
  </si>
  <si>
    <t>PCB Assembly,Inverter</t>
  </si>
  <si>
    <t>MS2535GIS.BBKQMEB</t>
  </si>
  <si>
    <t>EAD63770013</t>
  </si>
  <si>
    <t>F0K6DMK2S2.AESPMEA</t>
  </si>
  <si>
    <t>AGM30000201</t>
  </si>
  <si>
    <t>Connector,Parts Assembly,SVC</t>
  </si>
  <si>
    <t>XD90DB.ABDPDEL</t>
  </si>
  <si>
    <t>3108ER1001B</t>
  </si>
  <si>
    <t>WD-16396FDK.ALSPDEL</t>
  </si>
  <si>
    <t>6322FR2046Y</t>
  </si>
  <si>
    <t>Thermistor,NTC</t>
  </si>
  <si>
    <t>F14U1JBHK8N.ABPPARA</t>
  </si>
  <si>
    <t>MEA63470801</t>
  </si>
  <si>
    <t>Guide,Fan</t>
  </si>
  <si>
    <t>LS292JDVL.ANSGNAG</t>
  </si>
  <si>
    <t>MEE62605616</t>
  </si>
  <si>
    <t>EBR81117138</t>
  </si>
  <si>
    <t>ARNU12GM1A4.ENCBIBR</t>
  </si>
  <si>
    <t>5859EN1002T</t>
  </si>
  <si>
    <t>AHA74873601</t>
  </si>
  <si>
    <t>Pump Assembly,Drain</t>
  </si>
  <si>
    <t>T1166TEFT1C.AFSPEEC</t>
  </si>
  <si>
    <t>VIETNAM</t>
  </si>
  <si>
    <t>EBR77678901</t>
  </si>
  <si>
    <t>GR-B354SLCL.APZPEMC</t>
  </si>
  <si>
    <t>EAY64450501</t>
  </si>
  <si>
    <t>55UJ670V.AMA</t>
  </si>
  <si>
    <t>EBZ63188210</t>
  </si>
  <si>
    <t>Filter,Outsourcing SVC</t>
  </si>
  <si>
    <t>DC6600SU.CSTUEAS</t>
  </si>
  <si>
    <t>MDG42287901</t>
  </si>
  <si>
    <t>Fan,Turbo</t>
  </si>
  <si>
    <t>LMNH18GTQA0.ANWBDXB</t>
  </si>
  <si>
    <t>COV33448501</t>
  </si>
  <si>
    <t>Hose,Outsourcing SVC</t>
  </si>
  <si>
    <t>VP7320NNT.CR1QLGF</t>
  </si>
  <si>
    <t>AHT74413803</t>
  </si>
  <si>
    <t>GCJ-267PHL.APZQHAF</t>
  </si>
  <si>
    <t>EBR81604808</t>
  </si>
  <si>
    <t>MJ3965ACS.BSSQEAS</t>
  </si>
  <si>
    <t>EBR76723416</t>
  </si>
  <si>
    <t>ABUW54GRLT0.ANWBUAE</t>
  </si>
  <si>
    <t>5301FR2076D</t>
  </si>
  <si>
    <t>Heater Assembly</t>
  </si>
  <si>
    <t>WD-14120RD.AOWPEIN</t>
  </si>
  <si>
    <t>EBR56463701</t>
  </si>
  <si>
    <t>ARNU18GTQC2.ENWALEU</t>
  </si>
  <si>
    <t>EBU67032391</t>
  </si>
  <si>
    <t>75UQ81006LB.APD</t>
  </si>
  <si>
    <t>AGF30112012</t>
  </si>
  <si>
    <t>Package Assembly,LED Array</t>
  </si>
  <si>
    <t>50UR80006LJ.AMCN</t>
  </si>
  <si>
    <t>AKB76045007</t>
  </si>
  <si>
    <t>Remote Controller Assembly</t>
  </si>
  <si>
    <t>65QNED90T6A.AMAG</t>
  </si>
  <si>
    <t>AKB76043107</t>
  </si>
  <si>
    <t>65QNED856RA.AMAG</t>
  </si>
  <si>
    <t>EBF61314813</t>
  </si>
  <si>
    <t>EBF62234504</t>
  </si>
  <si>
    <t>Switch,Magnet</t>
  </si>
  <si>
    <t>GR-F802HLHU.APZPEAS</t>
  </si>
  <si>
    <t>EAY64210702</t>
  </si>
  <si>
    <t>CRB35439501</t>
  </si>
  <si>
    <t>Power Supply Assembly,Recycle Board</t>
  </si>
  <si>
    <t>55UH650V.AFP</t>
  </si>
  <si>
    <t>MHJ64115301</t>
  </si>
  <si>
    <t>MHJ64115302</t>
  </si>
  <si>
    <t>Shaft,Turntable</t>
  </si>
  <si>
    <t>EAY65895532</t>
  </si>
  <si>
    <t>CRB38583101</t>
  </si>
  <si>
    <t>65UP8150PVB.AMFG</t>
  </si>
  <si>
    <t>AJU73472405</t>
  </si>
  <si>
    <t>ARUN100LTE4.AWGBBRZ</t>
  </si>
  <si>
    <t>EBR77185601</t>
  </si>
  <si>
    <t>60PB5600.AMA</t>
  </si>
  <si>
    <t>MAG62383001</t>
  </si>
  <si>
    <t>Balance Weight</t>
  </si>
  <si>
    <t>F1248QDP.ABWPLTK</t>
  </si>
  <si>
    <t>4970FR2084R</t>
  </si>
  <si>
    <t>Spring,Hinge</t>
  </si>
  <si>
    <t>WD-1250ERD.ADRQESA</t>
  </si>
  <si>
    <t>4738ER1002A</t>
  </si>
  <si>
    <t>WD-12276BD.ABPRAEC</t>
  </si>
  <si>
    <t>4738EN3002A</t>
  </si>
  <si>
    <t>F8068QDP2.ABWPHFD</t>
  </si>
  <si>
    <t>4036ER2004A</t>
  </si>
  <si>
    <t>F1447TDP.ABWPECC</t>
  </si>
  <si>
    <t>4681EA1009A</t>
  </si>
  <si>
    <t>T1103DDP1.AFS5NAG</t>
  </si>
  <si>
    <t>4680JB1039E</t>
  </si>
  <si>
    <t>Motor,AC</t>
  </si>
  <si>
    <t>GN-M392YVQK.ASWPVHO</t>
  </si>
  <si>
    <t>MAP64433704</t>
  </si>
  <si>
    <t>Bearing,Ball</t>
  </si>
  <si>
    <t>F84912WH.ABWQEFS</t>
  </si>
  <si>
    <t>6601A20013T</t>
  </si>
  <si>
    <t>ARNU07GTRD4.ENWBLEU</t>
  </si>
  <si>
    <t>5221EA1009S</t>
  </si>
  <si>
    <t>FH4G1JCHP6N.ASSQEAS</t>
  </si>
  <si>
    <t>AAA74919206</t>
  </si>
  <si>
    <t>Accessory Assembly</t>
  </si>
  <si>
    <t>PWFMDD200.ENCXLEU</t>
  </si>
  <si>
    <t>EBR81792505</t>
  </si>
  <si>
    <t>AHUW166A3.EWGBATK</t>
  </si>
  <si>
    <t>EBR87906502</t>
  </si>
  <si>
    <t>F4J6VS0W.ABWPCIS</t>
  </si>
  <si>
    <t>EAY65170108</t>
  </si>
  <si>
    <t>43UN7340PVC.AFFG</t>
  </si>
  <si>
    <t>AHR73669802</t>
  </si>
  <si>
    <t>Shaft Assembly</t>
  </si>
  <si>
    <t>DFB425FP.APZQESA</t>
  </si>
  <si>
    <t>AJJ75138527</t>
  </si>
  <si>
    <t>Supporter Assembly,PCB</t>
  </si>
  <si>
    <t>MS2535GISS.BLVQDAG</t>
  </si>
  <si>
    <t>AJU72912230</t>
  </si>
  <si>
    <t>T1788NEHT1.ASFPKOS</t>
  </si>
  <si>
    <t>5220FR1251H</t>
  </si>
  <si>
    <t>F4V5RYP2T.ASSPLTK</t>
  </si>
  <si>
    <t>MJX65075502</t>
  </si>
  <si>
    <t>Valve,Reverse</t>
  </si>
  <si>
    <t>NT187SK3.UK0</t>
  </si>
  <si>
    <t>ACG76384502</t>
  </si>
  <si>
    <t>Condenser Assembly,Wire</t>
  </si>
  <si>
    <t>GC-L247SLKV.APZPMET</t>
  </si>
  <si>
    <t>ADP73273402</t>
  </si>
  <si>
    <t>Fan Assembly</t>
  </si>
  <si>
    <t>GC-F411ELDM.APZPEEC</t>
  </si>
  <si>
    <t>MDS64610513</t>
  </si>
  <si>
    <t>Gasket,Home Bar</t>
  </si>
  <si>
    <t>GMJ844PZKV.APZQLGU</t>
  </si>
  <si>
    <t>AEH75996401</t>
  </si>
  <si>
    <t>Hinge Assembly,Caster</t>
  </si>
  <si>
    <t>GC-F559BLDN.APZREEF</t>
  </si>
  <si>
    <t>MEJ64284801</t>
  </si>
  <si>
    <t>Hose,Connector</t>
  </si>
  <si>
    <t>F2WV9S8P2.ABWQPIS</t>
  </si>
  <si>
    <t>AJB73816010</t>
  </si>
  <si>
    <t>Stator Assembly</t>
  </si>
  <si>
    <t>EBR36932815</t>
  </si>
  <si>
    <t>AGF30534802</t>
  </si>
  <si>
    <t>Package Assembly,PCB</t>
  </si>
  <si>
    <t>ARUN100LT3.EWGBLEU</t>
  </si>
  <si>
    <t>3390W1A035D</t>
  </si>
  <si>
    <t>3390W1A035A</t>
  </si>
  <si>
    <t>MS-1924HL.CSBQNGR</t>
  </si>
  <si>
    <t>4280EN4001F</t>
  </si>
  <si>
    <t>F1407ADSPE.ABWPMEB</t>
  </si>
  <si>
    <t>EBZ63138627</t>
  </si>
  <si>
    <t>Pin,Outsourcing SVC</t>
  </si>
  <si>
    <t>HU641DAG.CSTUEAS</t>
  </si>
  <si>
    <t>AJR75805401</t>
  </si>
  <si>
    <t>Tube Assembly,Drain</t>
  </si>
  <si>
    <t>GR-B106ELNZ.APZQCTC</t>
  </si>
  <si>
    <t>AJS73129204</t>
  </si>
  <si>
    <t>Turntable Assembly</t>
  </si>
  <si>
    <t>MJ3965ACS.BSSQEUF</t>
  </si>
  <si>
    <t>EBZ63188204</t>
  </si>
  <si>
    <t>Button,Outsourcing SVC</t>
  </si>
  <si>
    <t>EAD63686601</t>
  </si>
  <si>
    <t>PRCTIL0.ENCXLEU</t>
  </si>
  <si>
    <t>EAV63613203</t>
  </si>
  <si>
    <t>LED Assembly</t>
  </si>
  <si>
    <t>GN-A702HLHU.APZPLTK</t>
  </si>
  <si>
    <t>EBR79669813</t>
  </si>
  <si>
    <t>ARUM080LTE5.EWGBLEU</t>
  </si>
  <si>
    <t>EBZ64198526</t>
  </si>
  <si>
    <t>Bracket,Outsourcing SVC</t>
  </si>
  <si>
    <t>FA415RMA.CSTUEAS</t>
  </si>
  <si>
    <t>EBZ64198533</t>
  </si>
  <si>
    <t>Supporter,Outsourcing SVC</t>
  </si>
  <si>
    <t>6877JR2042G</t>
  </si>
  <si>
    <t>GCB-267PDL.ADSPELF</t>
  </si>
  <si>
    <t>AEH73957106</t>
  </si>
  <si>
    <t>GR-J337CSAL.ANSRALY</t>
  </si>
  <si>
    <t>MEG64438601</t>
  </si>
  <si>
    <t>Holder</t>
  </si>
  <si>
    <t>MEG64419101</t>
  </si>
  <si>
    <t>EBR83717570</t>
  </si>
  <si>
    <t>GC-B247SLUV.APZPEAL</t>
  </si>
  <si>
    <t>AGF80305301</t>
  </si>
  <si>
    <t>43UH603V.AFK</t>
  </si>
  <si>
    <t>AGF80317901</t>
  </si>
  <si>
    <t>49UH620V.AFP</t>
  </si>
  <si>
    <t>EBZ64198524</t>
  </si>
  <si>
    <t>EBZ63418841</t>
  </si>
  <si>
    <t>Ring,Outsourcing SVC</t>
  </si>
  <si>
    <t>EBZ63418865</t>
  </si>
  <si>
    <t>Valve,Outsourcing SVC</t>
  </si>
  <si>
    <t>AGM76191401</t>
  </si>
  <si>
    <t>LED Array,Parts Assembly,SVC</t>
  </si>
  <si>
    <t>49LJ550V.AFAE</t>
  </si>
  <si>
    <t>AKB75595342</t>
  </si>
  <si>
    <t>SL6YF.DEUSLLK</t>
  </si>
  <si>
    <t>AHT75193802</t>
  </si>
  <si>
    <t>GC-M297SLGT.APZPEAS</t>
  </si>
  <si>
    <t>5220FR2067R</t>
  </si>
  <si>
    <t>F4V5RYP2T.ASSQEAS</t>
  </si>
  <si>
    <t>5221ER1002M</t>
  </si>
  <si>
    <t>FH4G1JCSP2.ABWPDEL</t>
  </si>
  <si>
    <t>MBP62261105</t>
  </si>
  <si>
    <t>EBU63005703</t>
  </si>
  <si>
    <t>32LF560B.AGS</t>
  </si>
  <si>
    <t>EAM60991309</t>
  </si>
  <si>
    <t>FH496TD23.ABWPKOS</t>
  </si>
  <si>
    <t>EBR80532565</t>
  </si>
  <si>
    <t>GCB-555HW.ASWQIRQ</t>
  </si>
  <si>
    <t>ADQ73573301</t>
  </si>
  <si>
    <t>Filter Assembly,Exhaust</t>
  </si>
  <si>
    <t>VC4220NHT.CAEQLAL</t>
  </si>
  <si>
    <t>CTN6057852301</t>
  </si>
  <si>
    <t>ADJ75092213</t>
  </si>
  <si>
    <t>Duct Assembly,Multi</t>
  </si>
  <si>
    <t>GR-H572HLHU.DPZPEMC</t>
  </si>
  <si>
    <t>MCK67693001</t>
  </si>
  <si>
    <t>Cover,Cabinet</t>
  </si>
  <si>
    <t>FH0D7DDMK62.AESPEEC</t>
  </si>
  <si>
    <t>3550EN0004D</t>
  </si>
  <si>
    <t>Cover,Tub</t>
  </si>
  <si>
    <t>F1222TD5.ALSQSBT</t>
  </si>
  <si>
    <t>MJS64751805</t>
  </si>
  <si>
    <t>Tray,Vegetable</t>
  </si>
  <si>
    <t>GC-B569BQCZ.ASWPLTK</t>
  </si>
  <si>
    <t>MDS64610521</t>
  </si>
  <si>
    <t>GC-X267SQCS.ASWPEAL</t>
  </si>
  <si>
    <t>ABQ74149302</t>
  </si>
  <si>
    <t>Case Assembly,Control Refrigerator</t>
  </si>
  <si>
    <t>GC-B419SLQK.APVPARY</t>
  </si>
  <si>
    <t>ACQ85458105</t>
  </si>
  <si>
    <t>Cover Assembly,Tray Vegetable</t>
  </si>
  <si>
    <t>GC-M502HLHM.APZPLTK</t>
  </si>
  <si>
    <t>ADL73980901</t>
  </si>
  <si>
    <t>GRD-324PS.ANSPSLC</t>
  </si>
  <si>
    <t>ACQ30461402</t>
  </si>
  <si>
    <t>ABJ75207116</t>
  </si>
  <si>
    <t>Cabinet Assembly</t>
  </si>
  <si>
    <t>T1288NEHTG.DSFPOGE</t>
  </si>
  <si>
    <t>CTN6057870701</t>
  </si>
  <si>
    <t>AEB73224808</t>
  </si>
  <si>
    <t>EAU61723706</t>
  </si>
  <si>
    <t>EAU61723704</t>
  </si>
  <si>
    <t>Motor Assembly,DC,Fan</t>
  </si>
  <si>
    <t>FH19VB.AKOR</t>
  </si>
  <si>
    <t>ABQ30084502</t>
  </si>
  <si>
    <t>Case Assembly,Control(Outdoor)</t>
  </si>
  <si>
    <t>A24CMH.UGGFA</t>
  </si>
  <si>
    <t>AJK73210002</t>
  </si>
  <si>
    <t>Suspension Assembly</t>
  </si>
  <si>
    <t>T1366NEFT.ABWPEEC</t>
  </si>
  <si>
    <t>EBZ64198532</t>
  </si>
  <si>
    <t>Handle,Outsourcing SVC</t>
  </si>
  <si>
    <t>AHB73129502</t>
  </si>
  <si>
    <t>Rack Assembly</t>
  </si>
  <si>
    <t>ACG73444962</t>
  </si>
  <si>
    <t>Condenser Assembly,Bending</t>
  </si>
  <si>
    <t>M126EH.UB0</t>
  </si>
  <si>
    <t>ACQ85595101</t>
  </si>
  <si>
    <t>Cover Assembly,Machinery(Rear)</t>
  </si>
  <si>
    <t>AJP30627502</t>
  </si>
  <si>
    <t>Tray Assembly,Drawer</t>
  </si>
  <si>
    <t>GC-F399BVQ.CWBPEMC</t>
  </si>
  <si>
    <t>AED73373103</t>
  </si>
  <si>
    <t>Handle Assembly,Refrigerator</t>
  </si>
  <si>
    <t>GR-T290GBX.ASWPDLM</t>
  </si>
  <si>
    <t>KSNH0964NA1.AMBBLMC</t>
  </si>
  <si>
    <t>5208ER1003A</t>
  </si>
  <si>
    <t>Duct,Outlet</t>
  </si>
  <si>
    <t>ACQ89579306</t>
  </si>
  <si>
    <t>GR-B265MAJ.ANSQAGE</t>
  </si>
  <si>
    <t>AHT74594202</t>
  </si>
  <si>
    <t>GNB-555GL.ABMQIRQ</t>
  </si>
  <si>
    <t>ADL76709801</t>
  </si>
  <si>
    <t>GR-B312PLGB.APZPEMC</t>
  </si>
  <si>
    <t>MAN64890001</t>
  </si>
  <si>
    <t>ADC73669402</t>
  </si>
  <si>
    <t>Door Assembly,Fresh Room</t>
  </si>
  <si>
    <t>GN-M622HSHL.ANSPEEC</t>
  </si>
  <si>
    <t>MAN62309901</t>
  </si>
  <si>
    <t>GR-T2325GLX.APVPDLM</t>
  </si>
  <si>
    <t>MAN62288702</t>
  </si>
  <si>
    <t>GC7221PS.APZQGSF</t>
  </si>
  <si>
    <t>4891W0N010Y</t>
  </si>
  <si>
    <t>Window Assembly</t>
  </si>
  <si>
    <t>LB645329T1.BSTZEAS</t>
  </si>
  <si>
    <t>EBZ64570390</t>
  </si>
  <si>
    <t>Case,Outsourcing SVC</t>
  </si>
  <si>
    <t>LS19GBBDI.AHSGNGH</t>
  </si>
  <si>
    <t>AHT74873803</t>
  </si>
  <si>
    <t>GR-H572HLHL.DPZPEMC</t>
  </si>
  <si>
    <t>EBZ63418872</t>
  </si>
  <si>
    <t>Panel,Outsourcing SVC</t>
  </si>
  <si>
    <t>AHB34434803</t>
  </si>
  <si>
    <t>D1420BF.ABPPAKD</t>
  </si>
  <si>
    <t>ITALY</t>
  </si>
  <si>
    <t>SOUTH KOREA</t>
  </si>
  <si>
    <t>Time Control</t>
  </si>
  <si>
    <t xml:space="preserve">Designation </t>
  </si>
  <si>
    <t xml:space="preserve">Carte electronique </t>
  </si>
  <si>
    <t xml:space="preserve">Moteur </t>
  </si>
  <si>
    <t xml:space="preserve">Afficheur Oled </t>
  </si>
  <si>
    <t xml:space="preserve">Joint </t>
  </si>
  <si>
    <t xml:space="preserve">contre poids </t>
  </si>
  <si>
    <t>etagere</t>
  </si>
  <si>
    <t>roulement</t>
  </si>
  <si>
    <t>durite</t>
  </si>
  <si>
    <t xml:space="preserve">condensateur </t>
  </si>
  <si>
    <t xml:space="preserve">Porte </t>
  </si>
  <si>
    <t>vanne</t>
  </si>
  <si>
    <t xml:space="preserve">electro vanne </t>
  </si>
  <si>
    <t>vane</t>
  </si>
  <si>
    <t>filtre</t>
  </si>
  <si>
    <t xml:space="preserve">cache </t>
  </si>
  <si>
    <t>demi cuve</t>
  </si>
  <si>
    <t>tube</t>
  </si>
  <si>
    <t xml:space="preserve">ventilateur </t>
  </si>
  <si>
    <t xml:space="preserve">switcheur </t>
  </si>
  <si>
    <t>jig</t>
  </si>
  <si>
    <t>faisceaux</t>
  </si>
  <si>
    <t>vollet</t>
  </si>
  <si>
    <t>telecommande</t>
  </si>
  <si>
    <t xml:space="preserve">assiete </t>
  </si>
  <si>
    <t xml:space="preserve">transformateur </t>
  </si>
  <si>
    <t>support</t>
  </si>
  <si>
    <t xml:space="preserve">bouton </t>
  </si>
  <si>
    <t>poignee</t>
  </si>
  <si>
    <t>raccord</t>
  </si>
  <si>
    <t xml:space="preserve">terroire </t>
  </si>
  <si>
    <t xml:space="preserve">grille </t>
  </si>
  <si>
    <t xml:space="preserve">evaporateur </t>
  </si>
  <si>
    <t xml:space="preserve">charniere </t>
  </si>
  <si>
    <t xml:space="preserve">etagere </t>
  </si>
  <si>
    <t>resistance</t>
  </si>
  <si>
    <t>charg</t>
  </si>
  <si>
    <t>sonde</t>
  </si>
  <si>
    <t>lampe led</t>
  </si>
  <si>
    <t>poignée</t>
  </si>
  <si>
    <t xml:space="preserve">cache interieur </t>
  </si>
  <si>
    <t>briquet</t>
  </si>
  <si>
    <t xml:space="preserve">crochet </t>
  </si>
  <si>
    <t xml:space="preserve">support </t>
  </si>
  <si>
    <t xml:space="preserve">cherniere </t>
  </si>
  <si>
    <t xml:space="preserve">vitre de porte </t>
  </si>
  <si>
    <t>attache</t>
  </si>
  <si>
    <t>tresse</t>
  </si>
  <si>
    <t>pack de led</t>
  </si>
  <si>
    <t>telecommade</t>
  </si>
  <si>
    <t>tuyaux</t>
  </si>
  <si>
    <t xml:space="preserve">calendre </t>
  </si>
  <si>
    <t>bloc</t>
  </si>
  <si>
    <t xml:space="preserve">deffuseur </t>
  </si>
  <si>
    <t xml:space="preserve">lampe   </t>
  </si>
  <si>
    <t>cable</t>
  </si>
  <si>
    <t>logement pompe</t>
  </si>
  <si>
    <t>rotor</t>
  </si>
  <si>
    <t>connecteur</t>
  </si>
  <si>
    <t xml:space="preserve">thermistor </t>
  </si>
  <si>
    <t xml:space="preserve">pompe </t>
  </si>
  <si>
    <t xml:space="preserve">moteur </t>
  </si>
  <si>
    <t>stator</t>
  </si>
  <si>
    <t>cabinet</t>
  </si>
  <si>
    <t>frein</t>
  </si>
  <si>
    <t xml:space="preserve">amortisseur </t>
  </si>
  <si>
    <t>etage</t>
  </si>
  <si>
    <t>ressort</t>
  </si>
  <si>
    <t xml:space="preserve">arbre </t>
  </si>
  <si>
    <t>Afficheur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</si>
</sst>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\ h:mm;@"/>
  </numFmts>
  <fonts count="5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ndara"/>
      <family val="2"/>
    </font>
    <font>
      <b/>
      <sz val="10"/>
      <color indexed="18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10"/>
      <color rgb="FF9C0006"/>
      <name val="Calibri"/>
      <family val="2"/>
    </font>
    <font>
      <sz val="10"/>
      <color rgb="FF9C0006"/>
      <name val="Calibri"/>
      <family val="2"/>
      <scheme val="minor"/>
    </font>
    <font>
      <b/>
      <sz val="10"/>
      <color rgb="FFFA7D00"/>
      <name val="Calibri"/>
      <family val="2"/>
    </font>
    <font>
      <b/>
      <sz val="10"/>
      <color rgb="FFFA7D0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i/>
      <sz val="10"/>
      <color rgb="FF7F7F7F"/>
      <name val="Calibri"/>
      <family val="2"/>
    </font>
    <font>
      <i/>
      <sz val="10"/>
      <color rgb="FF7F7F7F"/>
      <name val="Calibri"/>
      <family val="2"/>
      <scheme val="minor"/>
    </font>
    <font>
      <sz val="10"/>
      <color rgb="FF006100"/>
      <name val="Calibri"/>
      <family val="2"/>
    </font>
    <font>
      <sz val="10"/>
      <color rgb="FF006100"/>
      <name val="Calibri"/>
      <family val="2"/>
      <scheme val="minor"/>
    </font>
    <font>
      <b/>
      <sz val="15"/>
      <color theme="3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</font>
    <font>
      <b/>
      <sz val="11"/>
      <color theme="3"/>
      <name val="Calibri"/>
      <family val="2"/>
      <scheme val="minor"/>
    </font>
    <font>
      <sz val="10"/>
      <color rgb="FF3F3F76"/>
      <name val="Calibri"/>
      <family val="2"/>
    </font>
    <font>
      <sz val="10"/>
      <color rgb="FF3F3F76"/>
      <name val="Calibri"/>
      <family val="2"/>
      <scheme val="minor"/>
    </font>
    <font>
      <sz val="10"/>
      <color rgb="FFFA7D00"/>
      <name val="Calibri"/>
      <family val="2"/>
    </font>
    <font>
      <sz val="10"/>
      <color rgb="FFFA7D00"/>
      <name val="Calibri"/>
      <family val="2"/>
      <scheme val="minor"/>
    </font>
    <font>
      <sz val="10"/>
      <color rgb="FF9C6500"/>
      <name val="Calibri"/>
      <family val="2"/>
    </font>
    <font>
      <sz val="10"/>
      <color rgb="FF9C6500"/>
      <name val="Calibri"/>
      <family val="2"/>
      <scheme val="minor"/>
    </font>
    <font>
      <b/>
      <sz val="10"/>
      <color rgb="FF3F3F3F"/>
      <name val="Calibri"/>
      <family val="2"/>
    </font>
    <font>
      <b/>
      <sz val="10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ndara"/>
      <family val="2"/>
    </font>
    <font>
      <sz val="10"/>
      <color theme="1"/>
      <name val="Arial"/>
      <family val="2"/>
    </font>
    <font>
      <sz val="10"/>
      <name val="Berlin Sans FB"/>
      <family val="2"/>
    </font>
    <font>
      <sz val="11"/>
      <name val="Berlin Sans FB"/>
      <family val="2"/>
    </font>
    <font>
      <sz val="11"/>
      <color rgb="FFFF0000"/>
      <name val="Berlin Sans FB"/>
      <family val="2"/>
    </font>
    <font>
      <sz val="18"/>
      <name val="Berlin Sans FB"/>
      <family val="2"/>
    </font>
    <font>
      <u/>
      <sz val="11"/>
      <name val="Berlin Sans FB"/>
      <family val="2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00B05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0"/>
      <color rgb="FF00B05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4B08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572">
    <xf numFmtId="0" fontId="0" fillId="0" borderId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9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9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5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43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1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5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9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1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33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5" fillId="0" borderId="0" applyNumberFormat="0" applyFill="0" applyBorder="0" applyAlignment="0" applyProtection="0"/>
    <xf numFmtId="0" fontId="36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0" borderId="1" xfId="0" applyFont="1" applyBorder="1"/>
    <xf numFmtId="43" fontId="0" fillId="0" borderId="0" xfId="379" applyFont="1"/>
    <xf numFmtId="43" fontId="3" fillId="0" borderId="1" xfId="379" applyFont="1" applyBorder="1"/>
    <xf numFmtId="0" fontId="2" fillId="2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40" fillId="0" borderId="0" xfId="0" applyFont="1"/>
    <xf numFmtId="0" fontId="0" fillId="0" borderId="3" xfId="0" applyBorder="1" applyAlignment="1">
      <alignment horizontal="left"/>
    </xf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3" fillId="0" borderId="6" xfId="0" applyFont="1" applyBorder="1"/>
    <xf numFmtId="0" fontId="5" fillId="0" borderId="0" xfId="0" applyFont="1" applyAlignment="1" applyProtection="1">
      <alignment horizontal="center"/>
      <protection locked="0"/>
    </xf>
    <xf numFmtId="4" fontId="41" fillId="0" borderId="0" xfId="0" applyNumberFormat="1" applyFont="1" applyAlignment="1" applyProtection="1">
      <alignment horizontal="center"/>
      <protection locked="0"/>
    </xf>
    <xf numFmtId="0" fontId="0" fillId="0" borderId="7" xfId="0" applyBorder="1"/>
    <xf numFmtId="0" fontId="0" fillId="0" borderId="8" xfId="0" applyBorder="1"/>
    <xf numFmtId="0" fontId="6" fillId="0" borderId="9" xfId="0" applyFont="1" applyBorder="1" applyAlignment="1">
      <alignment horizontal="center"/>
    </xf>
    <xf numFmtId="0" fontId="0" fillId="34" borderId="0" xfId="0" applyFill="1"/>
    <xf numFmtId="0" fontId="0" fillId="0" borderId="0" xfId="0" applyAlignment="1">
      <alignment wrapText="1"/>
    </xf>
    <xf numFmtId="43" fontId="0" fillId="0" borderId="0" xfId="379" applyFont="1" applyAlignment="1">
      <alignment wrapText="1"/>
    </xf>
    <xf numFmtId="0" fontId="2" fillId="0" borderId="2" xfId="0" applyFont="1" applyBorder="1"/>
    <xf numFmtId="0" fontId="0" fillId="0" borderId="0" xfId="0" pivotButton="1"/>
    <xf numFmtId="43" fontId="0" fillId="0" borderId="0" xfId="379" applyFont="1" applyBorder="1"/>
    <xf numFmtId="43" fontId="0" fillId="0" borderId="0" xfId="0" applyNumberFormat="1"/>
    <xf numFmtId="16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center"/>
    </xf>
    <xf numFmtId="0" fontId="3" fillId="35" borderId="0" xfId="0" applyFont="1" applyFill="1"/>
    <xf numFmtId="0" fontId="3" fillId="34" borderId="0" xfId="0" applyFont="1" applyFill="1"/>
    <xf numFmtId="43" fontId="3" fillId="36" borderId="0" xfId="379" applyFont="1" applyFill="1"/>
    <xf numFmtId="1" fontId="42" fillId="37" borderId="28" xfId="0" applyNumberFormat="1" applyFont="1" applyFill="1" applyBorder="1" applyAlignment="1">
      <alignment horizontal="center" vertical="center"/>
    </xf>
    <xf numFmtId="0" fontId="42" fillId="37" borderId="23" xfId="0" applyFont="1" applyFill="1" applyBorder="1" applyAlignment="1">
      <alignment vertical="center"/>
    </xf>
    <xf numFmtId="0" fontId="42" fillId="0" borderId="23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1" xfId="0" pivotButton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43" fontId="0" fillId="0" borderId="41" xfId="0" applyNumberFormat="1" applyBorder="1"/>
    <xf numFmtId="1" fontId="43" fillId="0" borderId="31" xfId="0" applyNumberFormat="1" applyFont="1" applyBorder="1" applyAlignment="1">
      <alignment horizontal="center" vertical="center"/>
    </xf>
    <xf numFmtId="0" fontId="43" fillId="0" borderId="31" xfId="0" applyFont="1" applyBorder="1" applyAlignment="1">
      <alignment horizontal="center"/>
    </xf>
    <xf numFmtId="0" fontId="43" fillId="0" borderId="34" xfId="0" applyFont="1" applyBorder="1" applyAlignment="1">
      <alignment horizontal="center"/>
    </xf>
    <xf numFmtId="0" fontId="43" fillId="0" borderId="35" xfId="0" applyFont="1" applyBorder="1" applyAlignment="1">
      <alignment horizontal="center"/>
    </xf>
    <xf numFmtId="2" fontId="44" fillId="0" borderId="20" xfId="0" applyNumberFormat="1" applyFont="1" applyBorder="1" applyAlignment="1">
      <alignment horizontal="center" vertical="center" wrapText="1"/>
    </xf>
    <xf numFmtId="1" fontId="43" fillId="0" borderId="36" xfId="0" applyNumberFormat="1" applyFont="1" applyBorder="1" applyAlignment="1">
      <alignment horizontal="center" vertical="center"/>
    </xf>
    <xf numFmtId="0" fontId="43" fillId="0" borderId="36" xfId="0" applyFont="1" applyBorder="1" applyAlignment="1">
      <alignment horizontal="center"/>
    </xf>
    <xf numFmtId="0" fontId="43" fillId="0" borderId="37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38" xfId="0" applyFont="1" applyBorder="1" applyAlignment="1">
      <alignment horizontal="center"/>
    </xf>
    <xf numFmtId="0" fontId="43" fillId="0" borderId="36" xfId="0" applyFont="1" applyBorder="1" applyAlignment="1">
      <alignment horizontal="center" wrapText="1"/>
    </xf>
    <xf numFmtId="1" fontId="43" fillId="0" borderId="39" xfId="0" applyNumberFormat="1" applyFont="1" applyBorder="1" applyAlignment="1">
      <alignment horizontal="center" vertical="center"/>
    </xf>
    <xf numFmtId="0" fontId="43" fillId="0" borderId="39" xfId="0" applyFont="1" applyBorder="1" applyAlignment="1">
      <alignment horizontal="center"/>
    </xf>
    <xf numFmtId="0" fontId="43" fillId="0" borderId="40" xfId="0" applyFont="1" applyBorder="1" applyAlignment="1">
      <alignment horizontal="center"/>
    </xf>
    <xf numFmtId="0" fontId="43" fillId="0" borderId="41" xfId="0" applyFont="1" applyBorder="1" applyAlignment="1">
      <alignment horizontal="center"/>
    </xf>
    <xf numFmtId="1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2" fontId="44" fillId="0" borderId="0" xfId="0" applyNumberFormat="1" applyFont="1" applyAlignment="1">
      <alignment horizontal="center" vertical="center" wrapText="1"/>
    </xf>
    <xf numFmtId="0" fontId="44" fillId="0" borderId="27" xfId="0" applyFont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/>
      <protection locked="0"/>
    </xf>
    <xf numFmtId="1" fontId="44" fillId="0" borderId="0" xfId="0" applyNumberFormat="1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4" fontId="45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/>
      <protection locked="0"/>
    </xf>
    <xf numFmtId="0" fontId="44" fillId="0" borderId="24" xfId="0" applyFont="1" applyBorder="1" applyAlignment="1" applyProtection="1">
      <alignment horizontal="center"/>
      <protection locked="0"/>
    </xf>
    <xf numFmtId="1" fontId="44" fillId="0" borderId="25" xfId="0" applyNumberFormat="1" applyFont="1" applyBorder="1" applyAlignment="1" applyProtection="1">
      <alignment horizontal="center" vertical="center"/>
      <protection locked="0"/>
    </xf>
    <xf numFmtId="0" fontId="44" fillId="0" borderId="25" xfId="0" applyFont="1" applyBorder="1" applyAlignment="1" applyProtection="1">
      <alignment horizontal="center" vertical="center" wrapText="1"/>
      <protection locked="0"/>
    </xf>
    <xf numFmtId="0" fontId="44" fillId="0" borderId="25" xfId="0" applyFont="1" applyBorder="1" applyAlignment="1" applyProtection="1">
      <alignment horizontal="center" vertical="center"/>
      <protection locked="0"/>
    </xf>
    <xf numFmtId="4" fontId="44" fillId="0" borderId="25" xfId="0" applyNumberFormat="1" applyFont="1" applyBorder="1" applyAlignment="1" applyProtection="1">
      <alignment horizontal="center" vertical="center"/>
      <protection locked="0"/>
    </xf>
    <xf numFmtId="4" fontId="44" fillId="0" borderId="26" xfId="0" applyNumberFormat="1" applyFont="1" applyBorder="1" applyAlignment="1" applyProtection="1">
      <alignment horizontal="center"/>
      <protection locked="0"/>
    </xf>
    <xf numFmtId="0" fontId="44" fillId="0" borderId="19" xfId="0" applyFont="1" applyBorder="1" applyAlignment="1" applyProtection="1">
      <alignment horizontal="center"/>
      <protection locked="0"/>
    </xf>
    <xf numFmtId="0" fontId="46" fillId="0" borderId="20" xfId="0" applyFont="1" applyBorder="1" applyAlignment="1" applyProtection="1">
      <alignment horizontal="center" vertical="top" wrapText="1"/>
      <protection locked="0"/>
    </xf>
    <xf numFmtId="0" fontId="44" fillId="0" borderId="20" xfId="0" applyFont="1" applyBorder="1" applyAlignment="1" applyProtection="1">
      <alignment horizontal="center" vertical="center" wrapText="1"/>
      <protection locked="0"/>
    </xf>
    <xf numFmtId="0" fontId="44" fillId="0" borderId="0" xfId="0" quotePrefix="1" applyFont="1" applyAlignment="1" applyProtection="1">
      <alignment horizontal="center" vertical="center"/>
      <protection locked="0"/>
    </xf>
    <xf numFmtId="1" fontId="44" fillId="0" borderId="27" xfId="0" applyNumberFormat="1" applyFont="1" applyBorder="1" applyAlignment="1" applyProtection="1">
      <alignment horizontal="center" vertical="center"/>
      <protection locked="0"/>
    </xf>
    <xf numFmtId="0" fontId="44" fillId="0" borderId="27" xfId="0" applyFont="1" applyBorder="1" applyAlignment="1" applyProtection="1">
      <alignment horizontal="center" vertical="center" wrapText="1"/>
      <protection locked="0"/>
    </xf>
    <xf numFmtId="2" fontId="44" fillId="0" borderId="27" xfId="0" applyNumberFormat="1" applyFont="1" applyBorder="1" applyAlignment="1">
      <alignment horizontal="center" vertical="center"/>
    </xf>
    <xf numFmtId="4" fontId="44" fillId="0" borderId="27" xfId="0" applyNumberFormat="1" applyFont="1" applyBorder="1" applyAlignment="1">
      <alignment horizontal="center" vertical="center"/>
    </xf>
    <xf numFmtId="4" fontId="44" fillId="0" borderId="20" xfId="0" applyNumberFormat="1" applyFont="1" applyBorder="1" applyAlignment="1">
      <alignment horizontal="center" vertical="center"/>
    </xf>
    <xf numFmtId="0" fontId="44" fillId="0" borderId="20" xfId="0" applyFont="1" applyBorder="1" applyAlignment="1" applyProtection="1">
      <alignment horizontal="center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0" fontId="44" fillId="0" borderId="21" xfId="0" applyFont="1" applyBorder="1" applyAlignment="1" applyProtection="1">
      <alignment horizontal="center"/>
      <protection locked="0"/>
    </xf>
    <xf numFmtId="1" fontId="44" fillId="0" borderId="22" xfId="0" applyNumberFormat="1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center" vertical="center" wrapText="1"/>
      <protection locked="0"/>
    </xf>
    <xf numFmtId="0" fontId="44" fillId="0" borderId="22" xfId="0" applyFont="1" applyBorder="1" applyAlignment="1" applyProtection="1">
      <alignment horizontal="center" vertical="center"/>
      <protection locked="0"/>
    </xf>
    <xf numFmtId="0" fontId="44" fillId="0" borderId="23" xfId="0" applyFont="1" applyBorder="1" applyAlignment="1" applyProtection="1">
      <alignment horizontal="center"/>
      <protection locked="0"/>
    </xf>
    <xf numFmtId="0" fontId="48" fillId="38" borderId="2" xfId="0" applyFont="1" applyFill="1" applyBorder="1" applyAlignment="1">
      <alignment horizontal="center" vertical="center"/>
    </xf>
    <xf numFmtId="1" fontId="48" fillId="39" borderId="2" xfId="0" applyNumberFormat="1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1" fontId="51" fillId="0" borderId="2" xfId="0" quotePrefix="1" applyNumberFormat="1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1" fontId="51" fillId="0" borderId="2" xfId="0" applyNumberFormat="1" applyFont="1" applyBorder="1" applyAlignment="1">
      <alignment horizontal="center" vertical="center"/>
    </xf>
    <xf numFmtId="1" fontId="51" fillId="40" borderId="2" xfId="0" quotePrefix="1" applyNumberFormat="1" applyFont="1" applyFill="1" applyBorder="1" applyAlignment="1">
      <alignment horizontal="center" vertical="center"/>
    </xf>
    <xf numFmtId="0" fontId="50" fillId="40" borderId="2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3" fillId="0" borderId="0" xfId="0" applyFont="1"/>
    <xf numFmtId="0" fontId="53" fillId="0" borderId="0" xfId="0" applyFont="1" applyAlignment="1">
      <alignment horizontal="center"/>
    </xf>
    <xf numFmtId="0" fontId="53" fillId="0" borderId="2" xfId="0" applyFont="1" applyBorder="1" applyAlignment="1">
      <alignment horizontal="center"/>
    </xf>
    <xf numFmtId="0" fontId="53" fillId="0" borderId="2" xfId="0" applyFont="1" applyBorder="1"/>
    <xf numFmtId="0" fontId="2" fillId="35" borderId="2" xfId="0" applyFont="1" applyFill="1" applyBorder="1"/>
    <xf numFmtId="0" fontId="42" fillId="40" borderId="23" xfId="0" applyFont="1" applyFill="1" applyBorder="1" applyAlignment="1">
      <alignment vertical="center"/>
    </xf>
    <xf numFmtId="0" fontId="54" fillId="35" borderId="2" xfId="0" applyFont="1" applyFill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2" fillId="0" borderId="0" xfId="0" applyFont="1" applyAlignment="1">
      <alignment horizontal="center"/>
    </xf>
    <xf numFmtId="0" fontId="46" fillId="0" borderId="0" xfId="0" applyFont="1" applyAlignment="1" applyProtection="1">
      <alignment horizontal="center" vertical="center" wrapText="1"/>
      <protection locked="0"/>
    </xf>
    <xf numFmtId="0" fontId="0" fillId="0" borderId="29" xfId="0" applyFill="1" applyBorder="1"/>
  </cellXfs>
  <cellStyles count="572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1 4" xfId="9" xr:uid="{00000000-0005-0000-0000-000008000000}"/>
    <cellStyle name="20% - Accent1 5" xfId="10" xr:uid="{00000000-0005-0000-0000-000009000000}"/>
    <cellStyle name="20% - Accent1 6" xfId="11" xr:uid="{00000000-0005-0000-0000-00000A000000}"/>
    <cellStyle name="20% - Accent1 7" xfId="12" xr:uid="{00000000-0005-0000-0000-00000B000000}"/>
    <cellStyle name="20% - Accent1 8" xfId="13" xr:uid="{00000000-0005-0000-0000-00000C000000}"/>
    <cellStyle name="20% - Accent1 9" xfId="14" xr:uid="{00000000-0005-0000-0000-00000D000000}"/>
    <cellStyle name="20% - Accent2" xfId="15" builtinId="34" customBuiltin="1"/>
    <cellStyle name="20% - Accent2 10" xfId="16" xr:uid="{00000000-0005-0000-0000-00000F000000}"/>
    <cellStyle name="20% - Accent2 11" xfId="17" xr:uid="{00000000-0005-0000-0000-000010000000}"/>
    <cellStyle name="20% - Accent2 12" xfId="18" xr:uid="{00000000-0005-0000-0000-000011000000}"/>
    <cellStyle name="20% - Accent2 13" xfId="19" xr:uid="{00000000-0005-0000-0000-000012000000}"/>
    <cellStyle name="20% - Accent2 14" xfId="20" xr:uid="{00000000-0005-0000-0000-000013000000}"/>
    <cellStyle name="20% - Accent2 2" xfId="21" xr:uid="{00000000-0005-0000-0000-000014000000}"/>
    <cellStyle name="20% - Accent2 3" xfId="22" xr:uid="{00000000-0005-0000-0000-000015000000}"/>
    <cellStyle name="20% - Accent2 4" xfId="23" xr:uid="{00000000-0005-0000-0000-000016000000}"/>
    <cellStyle name="20% - Accent2 5" xfId="24" xr:uid="{00000000-0005-0000-0000-000017000000}"/>
    <cellStyle name="20% - Accent2 6" xfId="25" xr:uid="{00000000-0005-0000-0000-000018000000}"/>
    <cellStyle name="20% - Accent2 7" xfId="26" xr:uid="{00000000-0005-0000-0000-000019000000}"/>
    <cellStyle name="20% - Accent2 8" xfId="27" xr:uid="{00000000-0005-0000-0000-00001A000000}"/>
    <cellStyle name="20% - Accent2 9" xfId="28" xr:uid="{00000000-0005-0000-0000-00001B000000}"/>
    <cellStyle name="20% - Accent3" xfId="29" builtinId="38" customBuiltin="1"/>
    <cellStyle name="20% - Accent3 10" xfId="30" xr:uid="{00000000-0005-0000-0000-00001D000000}"/>
    <cellStyle name="20% - Accent3 11" xfId="31" xr:uid="{00000000-0005-0000-0000-00001E000000}"/>
    <cellStyle name="20% - Accent3 12" xfId="32" xr:uid="{00000000-0005-0000-0000-00001F000000}"/>
    <cellStyle name="20% - Accent3 13" xfId="33" xr:uid="{00000000-0005-0000-0000-000020000000}"/>
    <cellStyle name="20% - Accent3 14" xfId="34" xr:uid="{00000000-0005-0000-0000-000021000000}"/>
    <cellStyle name="20% - Accent3 2" xfId="35" xr:uid="{00000000-0005-0000-0000-000022000000}"/>
    <cellStyle name="20% - Accent3 3" xfId="36" xr:uid="{00000000-0005-0000-0000-000023000000}"/>
    <cellStyle name="20% - Accent3 4" xfId="37" xr:uid="{00000000-0005-0000-0000-000024000000}"/>
    <cellStyle name="20% - Accent3 5" xfId="38" xr:uid="{00000000-0005-0000-0000-000025000000}"/>
    <cellStyle name="20% - Accent3 6" xfId="39" xr:uid="{00000000-0005-0000-0000-000026000000}"/>
    <cellStyle name="20% - Accent3 7" xfId="40" xr:uid="{00000000-0005-0000-0000-000027000000}"/>
    <cellStyle name="20% - Accent3 8" xfId="41" xr:uid="{00000000-0005-0000-0000-000028000000}"/>
    <cellStyle name="20% - Accent3 9" xfId="42" xr:uid="{00000000-0005-0000-0000-000029000000}"/>
    <cellStyle name="20% - Accent4" xfId="43" builtinId="42" customBuiltin="1"/>
    <cellStyle name="20% - Accent4 10" xfId="44" xr:uid="{00000000-0005-0000-0000-00002B000000}"/>
    <cellStyle name="20% - Accent4 11" xfId="45" xr:uid="{00000000-0005-0000-0000-00002C000000}"/>
    <cellStyle name="20% - Accent4 12" xfId="46" xr:uid="{00000000-0005-0000-0000-00002D000000}"/>
    <cellStyle name="20% - Accent4 13" xfId="47" xr:uid="{00000000-0005-0000-0000-00002E000000}"/>
    <cellStyle name="20% - Accent4 14" xfId="48" xr:uid="{00000000-0005-0000-0000-00002F000000}"/>
    <cellStyle name="20% - Accent4 2" xfId="49" xr:uid="{00000000-0005-0000-0000-000030000000}"/>
    <cellStyle name="20% - Accent4 3" xfId="50" xr:uid="{00000000-0005-0000-0000-000031000000}"/>
    <cellStyle name="20% - Accent4 4" xfId="51" xr:uid="{00000000-0005-0000-0000-000032000000}"/>
    <cellStyle name="20% - Accent4 5" xfId="52" xr:uid="{00000000-0005-0000-0000-000033000000}"/>
    <cellStyle name="20% - Accent4 6" xfId="53" xr:uid="{00000000-0005-0000-0000-000034000000}"/>
    <cellStyle name="20% - Accent4 7" xfId="54" xr:uid="{00000000-0005-0000-0000-000035000000}"/>
    <cellStyle name="20% - Accent4 8" xfId="55" xr:uid="{00000000-0005-0000-0000-000036000000}"/>
    <cellStyle name="20% - Accent4 9" xfId="56" xr:uid="{00000000-0005-0000-0000-000037000000}"/>
    <cellStyle name="20% - Accent5" xfId="57" builtinId="46" customBuiltin="1"/>
    <cellStyle name="20% - Accent5 10" xfId="58" xr:uid="{00000000-0005-0000-0000-000039000000}"/>
    <cellStyle name="20% - Accent5 11" xfId="59" xr:uid="{00000000-0005-0000-0000-00003A000000}"/>
    <cellStyle name="20% - Accent5 12" xfId="60" xr:uid="{00000000-0005-0000-0000-00003B000000}"/>
    <cellStyle name="20% - Accent5 13" xfId="61" xr:uid="{00000000-0005-0000-0000-00003C000000}"/>
    <cellStyle name="20% - Accent5 14" xfId="62" xr:uid="{00000000-0005-0000-0000-00003D000000}"/>
    <cellStyle name="20% - Accent5 2" xfId="63" xr:uid="{00000000-0005-0000-0000-00003E000000}"/>
    <cellStyle name="20% - Accent5 3" xfId="64" xr:uid="{00000000-0005-0000-0000-00003F000000}"/>
    <cellStyle name="20% - Accent5 4" xfId="65" xr:uid="{00000000-0005-0000-0000-000040000000}"/>
    <cellStyle name="20% - Accent5 5" xfId="66" xr:uid="{00000000-0005-0000-0000-000041000000}"/>
    <cellStyle name="20% - Accent5 6" xfId="67" xr:uid="{00000000-0005-0000-0000-000042000000}"/>
    <cellStyle name="20% - Accent5 7" xfId="68" xr:uid="{00000000-0005-0000-0000-000043000000}"/>
    <cellStyle name="20% - Accent5 8" xfId="69" xr:uid="{00000000-0005-0000-0000-000044000000}"/>
    <cellStyle name="20% - Accent5 9" xfId="70" xr:uid="{00000000-0005-0000-0000-000045000000}"/>
    <cellStyle name="20% - Accent6" xfId="71" builtinId="50" customBuiltin="1"/>
    <cellStyle name="20% - Accent6 10" xfId="72" xr:uid="{00000000-0005-0000-0000-000047000000}"/>
    <cellStyle name="20% - Accent6 11" xfId="73" xr:uid="{00000000-0005-0000-0000-000048000000}"/>
    <cellStyle name="20% - Accent6 12" xfId="74" xr:uid="{00000000-0005-0000-0000-000049000000}"/>
    <cellStyle name="20% - Accent6 13" xfId="75" xr:uid="{00000000-0005-0000-0000-00004A000000}"/>
    <cellStyle name="20% - Accent6 14" xfId="76" xr:uid="{00000000-0005-0000-0000-00004B000000}"/>
    <cellStyle name="20% - Accent6 2" xfId="77" xr:uid="{00000000-0005-0000-0000-00004C000000}"/>
    <cellStyle name="20% - Accent6 3" xfId="78" xr:uid="{00000000-0005-0000-0000-00004D000000}"/>
    <cellStyle name="20% - Accent6 4" xfId="79" xr:uid="{00000000-0005-0000-0000-00004E000000}"/>
    <cellStyle name="20% - Accent6 5" xfId="80" xr:uid="{00000000-0005-0000-0000-00004F000000}"/>
    <cellStyle name="20% - Accent6 6" xfId="81" xr:uid="{00000000-0005-0000-0000-000050000000}"/>
    <cellStyle name="20% - Accent6 7" xfId="82" xr:uid="{00000000-0005-0000-0000-000051000000}"/>
    <cellStyle name="20% - Accent6 8" xfId="83" xr:uid="{00000000-0005-0000-0000-000052000000}"/>
    <cellStyle name="20% - Accent6 9" xfId="84" xr:uid="{00000000-0005-0000-0000-000053000000}"/>
    <cellStyle name="40% - Accent1" xfId="85" builtinId="31" customBuiltin="1"/>
    <cellStyle name="40% - Accent1 10" xfId="86" xr:uid="{00000000-0005-0000-0000-000055000000}"/>
    <cellStyle name="40% - Accent1 11" xfId="87" xr:uid="{00000000-0005-0000-0000-000056000000}"/>
    <cellStyle name="40% - Accent1 12" xfId="88" xr:uid="{00000000-0005-0000-0000-000057000000}"/>
    <cellStyle name="40% - Accent1 13" xfId="89" xr:uid="{00000000-0005-0000-0000-000058000000}"/>
    <cellStyle name="40% - Accent1 14" xfId="90" xr:uid="{00000000-0005-0000-0000-000059000000}"/>
    <cellStyle name="40% - Accent1 2" xfId="91" xr:uid="{00000000-0005-0000-0000-00005A000000}"/>
    <cellStyle name="40% - Accent1 3" xfId="92" xr:uid="{00000000-0005-0000-0000-00005B000000}"/>
    <cellStyle name="40% - Accent1 4" xfId="93" xr:uid="{00000000-0005-0000-0000-00005C000000}"/>
    <cellStyle name="40% - Accent1 5" xfId="94" xr:uid="{00000000-0005-0000-0000-00005D000000}"/>
    <cellStyle name="40% - Accent1 6" xfId="95" xr:uid="{00000000-0005-0000-0000-00005E000000}"/>
    <cellStyle name="40% - Accent1 7" xfId="96" xr:uid="{00000000-0005-0000-0000-00005F000000}"/>
    <cellStyle name="40% - Accent1 8" xfId="97" xr:uid="{00000000-0005-0000-0000-000060000000}"/>
    <cellStyle name="40% - Accent1 9" xfId="98" xr:uid="{00000000-0005-0000-0000-000061000000}"/>
    <cellStyle name="40% - Accent2" xfId="99" builtinId="35" customBuiltin="1"/>
    <cellStyle name="40% - Accent2 10" xfId="100" xr:uid="{00000000-0005-0000-0000-000063000000}"/>
    <cellStyle name="40% - Accent2 11" xfId="101" xr:uid="{00000000-0005-0000-0000-000064000000}"/>
    <cellStyle name="40% - Accent2 12" xfId="102" xr:uid="{00000000-0005-0000-0000-000065000000}"/>
    <cellStyle name="40% - Accent2 13" xfId="103" xr:uid="{00000000-0005-0000-0000-000066000000}"/>
    <cellStyle name="40% - Accent2 14" xfId="104" xr:uid="{00000000-0005-0000-0000-000067000000}"/>
    <cellStyle name="40% - Accent2 2" xfId="105" xr:uid="{00000000-0005-0000-0000-000068000000}"/>
    <cellStyle name="40% - Accent2 3" xfId="106" xr:uid="{00000000-0005-0000-0000-000069000000}"/>
    <cellStyle name="40% - Accent2 4" xfId="107" xr:uid="{00000000-0005-0000-0000-00006A000000}"/>
    <cellStyle name="40% - Accent2 5" xfId="108" xr:uid="{00000000-0005-0000-0000-00006B000000}"/>
    <cellStyle name="40% - Accent2 6" xfId="109" xr:uid="{00000000-0005-0000-0000-00006C000000}"/>
    <cellStyle name="40% - Accent2 7" xfId="110" xr:uid="{00000000-0005-0000-0000-00006D000000}"/>
    <cellStyle name="40% - Accent2 8" xfId="111" xr:uid="{00000000-0005-0000-0000-00006E000000}"/>
    <cellStyle name="40% - Accent2 9" xfId="112" xr:uid="{00000000-0005-0000-0000-00006F000000}"/>
    <cellStyle name="40% - Accent3" xfId="113" builtinId="39" customBuiltin="1"/>
    <cellStyle name="40% - Accent3 10" xfId="114" xr:uid="{00000000-0005-0000-0000-000071000000}"/>
    <cellStyle name="40% - Accent3 11" xfId="115" xr:uid="{00000000-0005-0000-0000-000072000000}"/>
    <cellStyle name="40% - Accent3 12" xfId="116" xr:uid="{00000000-0005-0000-0000-000073000000}"/>
    <cellStyle name="40% - Accent3 13" xfId="117" xr:uid="{00000000-0005-0000-0000-000074000000}"/>
    <cellStyle name="40% - Accent3 14" xfId="118" xr:uid="{00000000-0005-0000-0000-000075000000}"/>
    <cellStyle name="40% - Accent3 2" xfId="119" xr:uid="{00000000-0005-0000-0000-000076000000}"/>
    <cellStyle name="40% - Accent3 3" xfId="120" xr:uid="{00000000-0005-0000-0000-000077000000}"/>
    <cellStyle name="40% - Accent3 4" xfId="121" xr:uid="{00000000-0005-0000-0000-000078000000}"/>
    <cellStyle name="40% - Accent3 5" xfId="122" xr:uid="{00000000-0005-0000-0000-000079000000}"/>
    <cellStyle name="40% - Accent3 6" xfId="123" xr:uid="{00000000-0005-0000-0000-00007A000000}"/>
    <cellStyle name="40% - Accent3 7" xfId="124" xr:uid="{00000000-0005-0000-0000-00007B000000}"/>
    <cellStyle name="40% - Accent3 8" xfId="125" xr:uid="{00000000-0005-0000-0000-00007C000000}"/>
    <cellStyle name="40% - Accent3 9" xfId="126" xr:uid="{00000000-0005-0000-0000-00007D000000}"/>
    <cellStyle name="40% - Accent4" xfId="127" builtinId="43" customBuiltin="1"/>
    <cellStyle name="40% - Accent4 10" xfId="128" xr:uid="{00000000-0005-0000-0000-00007F000000}"/>
    <cellStyle name="40% - Accent4 11" xfId="129" xr:uid="{00000000-0005-0000-0000-000080000000}"/>
    <cellStyle name="40% - Accent4 12" xfId="130" xr:uid="{00000000-0005-0000-0000-000081000000}"/>
    <cellStyle name="40% - Accent4 13" xfId="131" xr:uid="{00000000-0005-0000-0000-000082000000}"/>
    <cellStyle name="40% - Accent4 14" xfId="132" xr:uid="{00000000-0005-0000-0000-000083000000}"/>
    <cellStyle name="40% - Accent4 2" xfId="133" xr:uid="{00000000-0005-0000-0000-000084000000}"/>
    <cellStyle name="40% - Accent4 3" xfId="134" xr:uid="{00000000-0005-0000-0000-000085000000}"/>
    <cellStyle name="40% - Accent4 4" xfId="135" xr:uid="{00000000-0005-0000-0000-000086000000}"/>
    <cellStyle name="40% - Accent4 5" xfId="136" xr:uid="{00000000-0005-0000-0000-000087000000}"/>
    <cellStyle name="40% - Accent4 6" xfId="137" xr:uid="{00000000-0005-0000-0000-000088000000}"/>
    <cellStyle name="40% - Accent4 7" xfId="138" xr:uid="{00000000-0005-0000-0000-000089000000}"/>
    <cellStyle name="40% - Accent4 8" xfId="139" xr:uid="{00000000-0005-0000-0000-00008A000000}"/>
    <cellStyle name="40% - Accent4 9" xfId="140" xr:uid="{00000000-0005-0000-0000-00008B000000}"/>
    <cellStyle name="40% - Accent5" xfId="141" builtinId="47" customBuiltin="1"/>
    <cellStyle name="40% - Accent5 10" xfId="142" xr:uid="{00000000-0005-0000-0000-00008D000000}"/>
    <cellStyle name="40% - Accent5 11" xfId="143" xr:uid="{00000000-0005-0000-0000-00008E000000}"/>
    <cellStyle name="40% - Accent5 12" xfId="144" xr:uid="{00000000-0005-0000-0000-00008F000000}"/>
    <cellStyle name="40% - Accent5 13" xfId="145" xr:uid="{00000000-0005-0000-0000-000090000000}"/>
    <cellStyle name="40% - Accent5 14" xfId="146" xr:uid="{00000000-0005-0000-0000-000091000000}"/>
    <cellStyle name="40% - Accent5 2" xfId="147" xr:uid="{00000000-0005-0000-0000-000092000000}"/>
    <cellStyle name="40% - Accent5 3" xfId="148" xr:uid="{00000000-0005-0000-0000-000093000000}"/>
    <cellStyle name="40% - Accent5 4" xfId="149" xr:uid="{00000000-0005-0000-0000-000094000000}"/>
    <cellStyle name="40% - Accent5 5" xfId="150" xr:uid="{00000000-0005-0000-0000-000095000000}"/>
    <cellStyle name="40% - Accent5 6" xfId="151" xr:uid="{00000000-0005-0000-0000-000096000000}"/>
    <cellStyle name="40% - Accent5 7" xfId="152" xr:uid="{00000000-0005-0000-0000-000097000000}"/>
    <cellStyle name="40% - Accent5 8" xfId="153" xr:uid="{00000000-0005-0000-0000-000098000000}"/>
    <cellStyle name="40% - Accent5 9" xfId="154" xr:uid="{00000000-0005-0000-0000-000099000000}"/>
    <cellStyle name="40% - Accent6" xfId="155" builtinId="51" customBuiltin="1"/>
    <cellStyle name="40% - Accent6 10" xfId="156" xr:uid="{00000000-0005-0000-0000-00009B000000}"/>
    <cellStyle name="40% - Accent6 11" xfId="157" xr:uid="{00000000-0005-0000-0000-00009C000000}"/>
    <cellStyle name="40% - Accent6 12" xfId="158" xr:uid="{00000000-0005-0000-0000-00009D000000}"/>
    <cellStyle name="40% - Accent6 13" xfId="159" xr:uid="{00000000-0005-0000-0000-00009E000000}"/>
    <cellStyle name="40% - Accent6 14" xfId="160" xr:uid="{00000000-0005-0000-0000-00009F000000}"/>
    <cellStyle name="40% - Accent6 2" xfId="161" xr:uid="{00000000-0005-0000-0000-0000A0000000}"/>
    <cellStyle name="40% - Accent6 3" xfId="162" xr:uid="{00000000-0005-0000-0000-0000A1000000}"/>
    <cellStyle name="40% - Accent6 4" xfId="163" xr:uid="{00000000-0005-0000-0000-0000A2000000}"/>
    <cellStyle name="40% - Accent6 5" xfId="164" xr:uid="{00000000-0005-0000-0000-0000A3000000}"/>
    <cellStyle name="40% - Accent6 6" xfId="165" xr:uid="{00000000-0005-0000-0000-0000A4000000}"/>
    <cellStyle name="40% - Accent6 7" xfId="166" xr:uid="{00000000-0005-0000-0000-0000A5000000}"/>
    <cellStyle name="40% - Accent6 8" xfId="167" xr:uid="{00000000-0005-0000-0000-0000A6000000}"/>
    <cellStyle name="40% - Accent6 9" xfId="168" xr:uid="{00000000-0005-0000-0000-0000A7000000}"/>
    <cellStyle name="60% - Accent1" xfId="169" builtinId="32" customBuiltin="1"/>
    <cellStyle name="60% - Accent1 10" xfId="170" xr:uid="{00000000-0005-0000-0000-0000A9000000}"/>
    <cellStyle name="60% - Accent1 11" xfId="171" xr:uid="{00000000-0005-0000-0000-0000AA000000}"/>
    <cellStyle name="60% - Accent1 12" xfId="172" xr:uid="{00000000-0005-0000-0000-0000AB000000}"/>
    <cellStyle name="60% - Accent1 13" xfId="173" xr:uid="{00000000-0005-0000-0000-0000AC000000}"/>
    <cellStyle name="60% - Accent1 14" xfId="174" xr:uid="{00000000-0005-0000-0000-0000AD000000}"/>
    <cellStyle name="60% - Accent1 2" xfId="175" xr:uid="{00000000-0005-0000-0000-0000AE000000}"/>
    <cellStyle name="60% - Accent1 3" xfId="176" xr:uid="{00000000-0005-0000-0000-0000AF000000}"/>
    <cellStyle name="60% - Accent1 4" xfId="177" xr:uid="{00000000-0005-0000-0000-0000B0000000}"/>
    <cellStyle name="60% - Accent1 5" xfId="178" xr:uid="{00000000-0005-0000-0000-0000B1000000}"/>
    <cellStyle name="60% - Accent1 6" xfId="179" xr:uid="{00000000-0005-0000-0000-0000B2000000}"/>
    <cellStyle name="60% - Accent1 7" xfId="180" xr:uid="{00000000-0005-0000-0000-0000B3000000}"/>
    <cellStyle name="60% - Accent1 8" xfId="181" xr:uid="{00000000-0005-0000-0000-0000B4000000}"/>
    <cellStyle name="60% - Accent1 9" xfId="182" xr:uid="{00000000-0005-0000-0000-0000B5000000}"/>
    <cellStyle name="60% - Accent2" xfId="183" builtinId="36" customBuiltin="1"/>
    <cellStyle name="60% - Accent2 10" xfId="184" xr:uid="{00000000-0005-0000-0000-0000B7000000}"/>
    <cellStyle name="60% - Accent2 11" xfId="185" xr:uid="{00000000-0005-0000-0000-0000B8000000}"/>
    <cellStyle name="60% - Accent2 12" xfId="186" xr:uid="{00000000-0005-0000-0000-0000B9000000}"/>
    <cellStyle name="60% - Accent2 13" xfId="187" xr:uid="{00000000-0005-0000-0000-0000BA000000}"/>
    <cellStyle name="60% - Accent2 14" xfId="188" xr:uid="{00000000-0005-0000-0000-0000BB000000}"/>
    <cellStyle name="60% - Accent2 2" xfId="189" xr:uid="{00000000-0005-0000-0000-0000BC000000}"/>
    <cellStyle name="60% - Accent2 3" xfId="190" xr:uid="{00000000-0005-0000-0000-0000BD000000}"/>
    <cellStyle name="60% - Accent2 4" xfId="191" xr:uid="{00000000-0005-0000-0000-0000BE000000}"/>
    <cellStyle name="60% - Accent2 5" xfId="192" xr:uid="{00000000-0005-0000-0000-0000BF000000}"/>
    <cellStyle name="60% - Accent2 6" xfId="193" xr:uid="{00000000-0005-0000-0000-0000C0000000}"/>
    <cellStyle name="60% - Accent2 7" xfId="194" xr:uid="{00000000-0005-0000-0000-0000C1000000}"/>
    <cellStyle name="60% - Accent2 8" xfId="195" xr:uid="{00000000-0005-0000-0000-0000C2000000}"/>
    <cellStyle name="60% - Accent2 9" xfId="196" xr:uid="{00000000-0005-0000-0000-0000C3000000}"/>
    <cellStyle name="60% - Accent3" xfId="197" builtinId="40" customBuiltin="1"/>
    <cellStyle name="60% - Accent3 10" xfId="198" xr:uid="{00000000-0005-0000-0000-0000C5000000}"/>
    <cellStyle name="60% - Accent3 11" xfId="199" xr:uid="{00000000-0005-0000-0000-0000C6000000}"/>
    <cellStyle name="60% - Accent3 12" xfId="200" xr:uid="{00000000-0005-0000-0000-0000C7000000}"/>
    <cellStyle name="60% - Accent3 13" xfId="201" xr:uid="{00000000-0005-0000-0000-0000C8000000}"/>
    <cellStyle name="60% - Accent3 14" xfId="202" xr:uid="{00000000-0005-0000-0000-0000C9000000}"/>
    <cellStyle name="60% - Accent3 2" xfId="203" xr:uid="{00000000-0005-0000-0000-0000CA000000}"/>
    <cellStyle name="60% - Accent3 3" xfId="204" xr:uid="{00000000-0005-0000-0000-0000CB000000}"/>
    <cellStyle name="60% - Accent3 4" xfId="205" xr:uid="{00000000-0005-0000-0000-0000CC000000}"/>
    <cellStyle name="60% - Accent3 5" xfId="206" xr:uid="{00000000-0005-0000-0000-0000CD000000}"/>
    <cellStyle name="60% - Accent3 6" xfId="207" xr:uid="{00000000-0005-0000-0000-0000CE000000}"/>
    <cellStyle name="60% - Accent3 7" xfId="208" xr:uid="{00000000-0005-0000-0000-0000CF000000}"/>
    <cellStyle name="60% - Accent3 8" xfId="209" xr:uid="{00000000-0005-0000-0000-0000D0000000}"/>
    <cellStyle name="60% - Accent3 9" xfId="210" xr:uid="{00000000-0005-0000-0000-0000D1000000}"/>
    <cellStyle name="60% - Accent4" xfId="211" builtinId="44" customBuiltin="1"/>
    <cellStyle name="60% - Accent4 10" xfId="212" xr:uid="{00000000-0005-0000-0000-0000D3000000}"/>
    <cellStyle name="60% - Accent4 11" xfId="213" xr:uid="{00000000-0005-0000-0000-0000D4000000}"/>
    <cellStyle name="60% - Accent4 12" xfId="214" xr:uid="{00000000-0005-0000-0000-0000D5000000}"/>
    <cellStyle name="60% - Accent4 13" xfId="215" xr:uid="{00000000-0005-0000-0000-0000D6000000}"/>
    <cellStyle name="60% - Accent4 14" xfId="216" xr:uid="{00000000-0005-0000-0000-0000D7000000}"/>
    <cellStyle name="60% - Accent4 2" xfId="217" xr:uid="{00000000-0005-0000-0000-0000D8000000}"/>
    <cellStyle name="60% - Accent4 3" xfId="218" xr:uid="{00000000-0005-0000-0000-0000D9000000}"/>
    <cellStyle name="60% - Accent4 4" xfId="219" xr:uid="{00000000-0005-0000-0000-0000DA000000}"/>
    <cellStyle name="60% - Accent4 5" xfId="220" xr:uid="{00000000-0005-0000-0000-0000DB000000}"/>
    <cellStyle name="60% - Accent4 6" xfId="221" xr:uid="{00000000-0005-0000-0000-0000DC000000}"/>
    <cellStyle name="60% - Accent4 7" xfId="222" xr:uid="{00000000-0005-0000-0000-0000DD000000}"/>
    <cellStyle name="60% - Accent4 8" xfId="223" xr:uid="{00000000-0005-0000-0000-0000DE000000}"/>
    <cellStyle name="60% - Accent4 9" xfId="224" xr:uid="{00000000-0005-0000-0000-0000DF000000}"/>
    <cellStyle name="60% - Accent5" xfId="225" builtinId="48" customBuiltin="1"/>
    <cellStyle name="60% - Accent5 10" xfId="226" xr:uid="{00000000-0005-0000-0000-0000E1000000}"/>
    <cellStyle name="60% - Accent5 11" xfId="227" xr:uid="{00000000-0005-0000-0000-0000E2000000}"/>
    <cellStyle name="60% - Accent5 12" xfId="228" xr:uid="{00000000-0005-0000-0000-0000E3000000}"/>
    <cellStyle name="60% - Accent5 13" xfId="229" xr:uid="{00000000-0005-0000-0000-0000E4000000}"/>
    <cellStyle name="60% - Accent5 14" xfId="230" xr:uid="{00000000-0005-0000-0000-0000E5000000}"/>
    <cellStyle name="60% - Accent5 2" xfId="231" xr:uid="{00000000-0005-0000-0000-0000E6000000}"/>
    <cellStyle name="60% - Accent5 3" xfId="232" xr:uid="{00000000-0005-0000-0000-0000E7000000}"/>
    <cellStyle name="60% - Accent5 4" xfId="233" xr:uid="{00000000-0005-0000-0000-0000E8000000}"/>
    <cellStyle name="60% - Accent5 5" xfId="234" xr:uid="{00000000-0005-0000-0000-0000E9000000}"/>
    <cellStyle name="60% - Accent5 6" xfId="235" xr:uid="{00000000-0005-0000-0000-0000EA000000}"/>
    <cellStyle name="60% - Accent5 7" xfId="236" xr:uid="{00000000-0005-0000-0000-0000EB000000}"/>
    <cellStyle name="60% - Accent5 8" xfId="237" xr:uid="{00000000-0005-0000-0000-0000EC000000}"/>
    <cellStyle name="60% - Accent5 9" xfId="238" xr:uid="{00000000-0005-0000-0000-0000ED000000}"/>
    <cellStyle name="60% - Accent6" xfId="239" builtinId="52" customBuiltin="1"/>
    <cellStyle name="60% - Accent6 10" xfId="240" xr:uid="{00000000-0005-0000-0000-0000EF000000}"/>
    <cellStyle name="60% - Accent6 11" xfId="241" xr:uid="{00000000-0005-0000-0000-0000F0000000}"/>
    <cellStyle name="60% - Accent6 12" xfId="242" xr:uid="{00000000-0005-0000-0000-0000F1000000}"/>
    <cellStyle name="60% - Accent6 13" xfId="243" xr:uid="{00000000-0005-0000-0000-0000F2000000}"/>
    <cellStyle name="60% - Accent6 14" xfId="244" xr:uid="{00000000-0005-0000-0000-0000F3000000}"/>
    <cellStyle name="60% - Accent6 2" xfId="245" xr:uid="{00000000-0005-0000-0000-0000F4000000}"/>
    <cellStyle name="60% - Accent6 3" xfId="246" xr:uid="{00000000-0005-0000-0000-0000F5000000}"/>
    <cellStyle name="60% - Accent6 4" xfId="247" xr:uid="{00000000-0005-0000-0000-0000F6000000}"/>
    <cellStyle name="60% - Accent6 5" xfId="248" xr:uid="{00000000-0005-0000-0000-0000F7000000}"/>
    <cellStyle name="60% - Accent6 6" xfId="249" xr:uid="{00000000-0005-0000-0000-0000F8000000}"/>
    <cellStyle name="60% - Accent6 7" xfId="250" xr:uid="{00000000-0005-0000-0000-0000F9000000}"/>
    <cellStyle name="60% - Accent6 8" xfId="251" xr:uid="{00000000-0005-0000-0000-0000FA000000}"/>
    <cellStyle name="60% - Accent6 9" xfId="252" xr:uid="{00000000-0005-0000-0000-0000FB000000}"/>
    <cellStyle name="Accent1" xfId="253" builtinId="29" customBuiltin="1"/>
    <cellStyle name="Accent1 10" xfId="254" xr:uid="{00000000-0005-0000-0000-0000FD000000}"/>
    <cellStyle name="Accent1 11" xfId="255" xr:uid="{00000000-0005-0000-0000-0000FE000000}"/>
    <cellStyle name="Accent1 12" xfId="256" xr:uid="{00000000-0005-0000-0000-0000FF000000}"/>
    <cellStyle name="Accent1 13" xfId="257" xr:uid="{00000000-0005-0000-0000-000000010000}"/>
    <cellStyle name="Accent1 14" xfId="258" xr:uid="{00000000-0005-0000-0000-000001010000}"/>
    <cellStyle name="Accent1 2" xfId="259" xr:uid="{00000000-0005-0000-0000-000002010000}"/>
    <cellStyle name="Accent1 3" xfId="260" xr:uid="{00000000-0005-0000-0000-000003010000}"/>
    <cellStyle name="Accent1 4" xfId="261" xr:uid="{00000000-0005-0000-0000-000004010000}"/>
    <cellStyle name="Accent1 5" xfId="262" xr:uid="{00000000-0005-0000-0000-000005010000}"/>
    <cellStyle name="Accent1 6" xfId="263" xr:uid="{00000000-0005-0000-0000-000006010000}"/>
    <cellStyle name="Accent1 7" xfId="264" xr:uid="{00000000-0005-0000-0000-000007010000}"/>
    <cellStyle name="Accent1 8" xfId="265" xr:uid="{00000000-0005-0000-0000-000008010000}"/>
    <cellStyle name="Accent1 9" xfId="266" xr:uid="{00000000-0005-0000-0000-000009010000}"/>
    <cellStyle name="Accent2" xfId="267" builtinId="33" customBuiltin="1"/>
    <cellStyle name="Accent2 10" xfId="268" xr:uid="{00000000-0005-0000-0000-00000B010000}"/>
    <cellStyle name="Accent2 11" xfId="269" xr:uid="{00000000-0005-0000-0000-00000C010000}"/>
    <cellStyle name="Accent2 12" xfId="270" xr:uid="{00000000-0005-0000-0000-00000D010000}"/>
    <cellStyle name="Accent2 13" xfId="271" xr:uid="{00000000-0005-0000-0000-00000E010000}"/>
    <cellStyle name="Accent2 14" xfId="272" xr:uid="{00000000-0005-0000-0000-00000F010000}"/>
    <cellStyle name="Accent2 2" xfId="273" xr:uid="{00000000-0005-0000-0000-000010010000}"/>
    <cellStyle name="Accent2 3" xfId="274" xr:uid="{00000000-0005-0000-0000-000011010000}"/>
    <cellStyle name="Accent2 4" xfId="275" xr:uid="{00000000-0005-0000-0000-000012010000}"/>
    <cellStyle name="Accent2 5" xfId="276" xr:uid="{00000000-0005-0000-0000-000013010000}"/>
    <cellStyle name="Accent2 6" xfId="277" xr:uid="{00000000-0005-0000-0000-000014010000}"/>
    <cellStyle name="Accent2 7" xfId="278" xr:uid="{00000000-0005-0000-0000-000015010000}"/>
    <cellStyle name="Accent2 8" xfId="279" xr:uid="{00000000-0005-0000-0000-000016010000}"/>
    <cellStyle name="Accent2 9" xfId="280" xr:uid="{00000000-0005-0000-0000-000017010000}"/>
    <cellStyle name="Accent3" xfId="281" builtinId="37" customBuiltin="1"/>
    <cellStyle name="Accent3 10" xfId="282" xr:uid="{00000000-0005-0000-0000-000019010000}"/>
    <cellStyle name="Accent3 11" xfId="283" xr:uid="{00000000-0005-0000-0000-00001A010000}"/>
    <cellStyle name="Accent3 12" xfId="284" xr:uid="{00000000-0005-0000-0000-00001B010000}"/>
    <cellStyle name="Accent3 13" xfId="285" xr:uid="{00000000-0005-0000-0000-00001C010000}"/>
    <cellStyle name="Accent3 14" xfId="286" xr:uid="{00000000-0005-0000-0000-00001D010000}"/>
    <cellStyle name="Accent3 2" xfId="287" xr:uid="{00000000-0005-0000-0000-00001E010000}"/>
    <cellStyle name="Accent3 3" xfId="288" xr:uid="{00000000-0005-0000-0000-00001F010000}"/>
    <cellStyle name="Accent3 4" xfId="289" xr:uid="{00000000-0005-0000-0000-000020010000}"/>
    <cellStyle name="Accent3 5" xfId="290" xr:uid="{00000000-0005-0000-0000-000021010000}"/>
    <cellStyle name="Accent3 6" xfId="291" xr:uid="{00000000-0005-0000-0000-000022010000}"/>
    <cellStyle name="Accent3 7" xfId="292" xr:uid="{00000000-0005-0000-0000-000023010000}"/>
    <cellStyle name="Accent3 8" xfId="293" xr:uid="{00000000-0005-0000-0000-000024010000}"/>
    <cellStyle name="Accent3 9" xfId="294" xr:uid="{00000000-0005-0000-0000-000025010000}"/>
    <cellStyle name="Accent4" xfId="295" builtinId="41" customBuiltin="1"/>
    <cellStyle name="Accent4 10" xfId="296" xr:uid="{00000000-0005-0000-0000-000027010000}"/>
    <cellStyle name="Accent4 11" xfId="297" xr:uid="{00000000-0005-0000-0000-000028010000}"/>
    <cellStyle name="Accent4 12" xfId="298" xr:uid="{00000000-0005-0000-0000-000029010000}"/>
    <cellStyle name="Accent4 13" xfId="299" xr:uid="{00000000-0005-0000-0000-00002A010000}"/>
    <cellStyle name="Accent4 14" xfId="300" xr:uid="{00000000-0005-0000-0000-00002B010000}"/>
    <cellStyle name="Accent4 2" xfId="301" xr:uid="{00000000-0005-0000-0000-00002C010000}"/>
    <cellStyle name="Accent4 3" xfId="302" xr:uid="{00000000-0005-0000-0000-00002D010000}"/>
    <cellStyle name="Accent4 4" xfId="303" xr:uid="{00000000-0005-0000-0000-00002E010000}"/>
    <cellStyle name="Accent4 5" xfId="304" xr:uid="{00000000-0005-0000-0000-00002F010000}"/>
    <cellStyle name="Accent4 6" xfId="305" xr:uid="{00000000-0005-0000-0000-000030010000}"/>
    <cellStyle name="Accent4 7" xfId="306" xr:uid="{00000000-0005-0000-0000-000031010000}"/>
    <cellStyle name="Accent4 8" xfId="307" xr:uid="{00000000-0005-0000-0000-000032010000}"/>
    <cellStyle name="Accent4 9" xfId="308" xr:uid="{00000000-0005-0000-0000-000033010000}"/>
    <cellStyle name="Accent5" xfId="309" builtinId="45" customBuiltin="1"/>
    <cellStyle name="Accent5 10" xfId="310" xr:uid="{00000000-0005-0000-0000-000035010000}"/>
    <cellStyle name="Accent5 11" xfId="311" xr:uid="{00000000-0005-0000-0000-000036010000}"/>
    <cellStyle name="Accent5 12" xfId="312" xr:uid="{00000000-0005-0000-0000-000037010000}"/>
    <cellStyle name="Accent5 13" xfId="313" xr:uid="{00000000-0005-0000-0000-000038010000}"/>
    <cellStyle name="Accent5 14" xfId="314" xr:uid="{00000000-0005-0000-0000-000039010000}"/>
    <cellStyle name="Accent5 2" xfId="315" xr:uid="{00000000-0005-0000-0000-00003A010000}"/>
    <cellStyle name="Accent5 3" xfId="316" xr:uid="{00000000-0005-0000-0000-00003B010000}"/>
    <cellStyle name="Accent5 4" xfId="317" xr:uid="{00000000-0005-0000-0000-00003C010000}"/>
    <cellStyle name="Accent5 5" xfId="318" xr:uid="{00000000-0005-0000-0000-00003D010000}"/>
    <cellStyle name="Accent5 6" xfId="319" xr:uid="{00000000-0005-0000-0000-00003E010000}"/>
    <cellStyle name="Accent5 7" xfId="320" xr:uid="{00000000-0005-0000-0000-00003F010000}"/>
    <cellStyle name="Accent5 8" xfId="321" xr:uid="{00000000-0005-0000-0000-000040010000}"/>
    <cellStyle name="Accent5 9" xfId="322" xr:uid="{00000000-0005-0000-0000-000041010000}"/>
    <cellStyle name="Accent6" xfId="323" builtinId="49" customBuiltin="1"/>
    <cellStyle name="Accent6 10" xfId="324" xr:uid="{00000000-0005-0000-0000-000043010000}"/>
    <cellStyle name="Accent6 11" xfId="325" xr:uid="{00000000-0005-0000-0000-000044010000}"/>
    <cellStyle name="Accent6 12" xfId="326" xr:uid="{00000000-0005-0000-0000-000045010000}"/>
    <cellStyle name="Accent6 13" xfId="327" xr:uid="{00000000-0005-0000-0000-000046010000}"/>
    <cellStyle name="Accent6 14" xfId="328" xr:uid="{00000000-0005-0000-0000-000047010000}"/>
    <cellStyle name="Accent6 2" xfId="329" xr:uid="{00000000-0005-0000-0000-000048010000}"/>
    <cellStyle name="Accent6 3" xfId="330" xr:uid="{00000000-0005-0000-0000-000049010000}"/>
    <cellStyle name="Accent6 4" xfId="331" xr:uid="{00000000-0005-0000-0000-00004A010000}"/>
    <cellStyle name="Accent6 5" xfId="332" xr:uid="{00000000-0005-0000-0000-00004B010000}"/>
    <cellStyle name="Accent6 6" xfId="333" xr:uid="{00000000-0005-0000-0000-00004C010000}"/>
    <cellStyle name="Accent6 7" xfId="334" xr:uid="{00000000-0005-0000-0000-00004D010000}"/>
    <cellStyle name="Accent6 8" xfId="335" xr:uid="{00000000-0005-0000-0000-00004E010000}"/>
    <cellStyle name="Accent6 9" xfId="336" xr:uid="{00000000-0005-0000-0000-00004F010000}"/>
    <cellStyle name="Bad" xfId="337" builtinId="27" customBuiltin="1"/>
    <cellStyle name="Bad 10" xfId="338" xr:uid="{00000000-0005-0000-0000-000051010000}"/>
    <cellStyle name="Bad 11" xfId="339" xr:uid="{00000000-0005-0000-0000-000052010000}"/>
    <cellStyle name="Bad 12" xfId="340" xr:uid="{00000000-0005-0000-0000-000053010000}"/>
    <cellStyle name="Bad 13" xfId="341" xr:uid="{00000000-0005-0000-0000-000054010000}"/>
    <cellStyle name="Bad 14" xfId="342" xr:uid="{00000000-0005-0000-0000-000055010000}"/>
    <cellStyle name="Bad 2" xfId="343" xr:uid="{00000000-0005-0000-0000-000056010000}"/>
    <cellStyle name="Bad 3" xfId="344" xr:uid="{00000000-0005-0000-0000-000057010000}"/>
    <cellStyle name="Bad 4" xfId="345" xr:uid="{00000000-0005-0000-0000-000058010000}"/>
    <cellStyle name="Bad 5" xfId="346" xr:uid="{00000000-0005-0000-0000-000059010000}"/>
    <cellStyle name="Bad 6" xfId="347" xr:uid="{00000000-0005-0000-0000-00005A010000}"/>
    <cellStyle name="Bad 7" xfId="348" xr:uid="{00000000-0005-0000-0000-00005B010000}"/>
    <cellStyle name="Bad 8" xfId="349" xr:uid="{00000000-0005-0000-0000-00005C010000}"/>
    <cellStyle name="Bad 9" xfId="350" xr:uid="{00000000-0005-0000-0000-00005D010000}"/>
    <cellStyle name="Calculation" xfId="351" builtinId="22" customBuiltin="1"/>
    <cellStyle name="Calculation 10" xfId="352" xr:uid="{00000000-0005-0000-0000-00005F010000}"/>
    <cellStyle name="Calculation 11" xfId="353" xr:uid="{00000000-0005-0000-0000-000060010000}"/>
    <cellStyle name="Calculation 12" xfId="354" xr:uid="{00000000-0005-0000-0000-000061010000}"/>
    <cellStyle name="Calculation 13" xfId="355" xr:uid="{00000000-0005-0000-0000-000062010000}"/>
    <cellStyle name="Calculation 14" xfId="356" xr:uid="{00000000-0005-0000-0000-000063010000}"/>
    <cellStyle name="Calculation 2" xfId="357" xr:uid="{00000000-0005-0000-0000-000064010000}"/>
    <cellStyle name="Calculation 3" xfId="358" xr:uid="{00000000-0005-0000-0000-000065010000}"/>
    <cellStyle name="Calculation 4" xfId="359" xr:uid="{00000000-0005-0000-0000-000066010000}"/>
    <cellStyle name="Calculation 5" xfId="360" xr:uid="{00000000-0005-0000-0000-000067010000}"/>
    <cellStyle name="Calculation 6" xfId="361" xr:uid="{00000000-0005-0000-0000-000068010000}"/>
    <cellStyle name="Calculation 7" xfId="362" xr:uid="{00000000-0005-0000-0000-000069010000}"/>
    <cellStyle name="Calculation 8" xfId="363" xr:uid="{00000000-0005-0000-0000-00006A010000}"/>
    <cellStyle name="Calculation 9" xfId="364" xr:uid="{00000000-0005-0000-0000-00006B010000}"/>
    <cellStyle name="Check Cell" xfId="365" builtinId="23" customBuiltin="1"/>
    <cellStyle name="Check Cell 10" xfId="366" xr:uid="{00000000-0005-0000-0000-00006D010000}"/>
    <cellStyle name="Check Cell 11" xfId="367" xr:uid="{00000000-0005-0000-0000-00006E010000}"/>
    <cellStyle name="Check Cell 12" xfId="368" xr:uid="{00000000-0005-0000-0000-00006F010000}"/>
    <cellStyle name="Check Cell 13" xfId="369" xr:uid="{00000000-0005-0000-0000-000070010000}"/>
    <cellStyle name="Check Cell 14" xfId="370" xr:uid="{00000000-0005-0000-0000-000071010000}"/>
    <cellStyle name="Check Cell 2" xfId="371" xr:uid="{00000000-0005-0000-0000-000072010000}"/>
    <cellStyle name="Check Cell 3" xfId="372" xr:uid="{00000000-0005-0000-0000-000073010000}"/>
    <cellStyle name="Check Cell 4" xfId="373" xr:uid="{00000000-0005-0000-0000-000074010000}"/>
    <cellStyle name="Check Cell 5" xfId="374" xr:uid="{00000000-0005-0000-0000-000075010000}"/>
    <cellStyle name="Check Cell 6" xfId="375" xr:uid="{00000000-0005-0000-0000-000076010000}"/>
    <cellStyle name="Check Cell 7" xfId="376" xr:uid="{00000000-0005-0000-0000-000077010000}"/>
    <cellStyle name="Check Cell 8" xfId="377" xr:uid="{00000000-0005-0000-0000-000078010000}"/>
    <cellStyle name="Check Cell 9" xfId="378" xr:uid="{00000000-0005-0000-0000-000079010000}"/>
    <cellStyle name="Comma" xfId="379" builtinId="3"/>
    <cellStyle name="Explanatory Text" xfId="380" builtinId="53" customBuiltin="1"/>
    <cellStyle name="Explanatory Text 10" xfId="381" xr:uid="{00000000-0005-0000-0000-00007C010000}"/>
    <cellStyle name="Explanatory Text 11" xfId="382" xr:uid="{00000000-0005-0000-0000-00007D010000}"/>
    <cellStyle name="Explanatory Text 12" xfId="383" xr:uid="{00000000-0005-0000-0000-00007E010000}"/>
    <cellStyle name="Explanatory Text 13" xfId="384" xr:uid="{00000000-0005-0000-0000-00007F010000}"/>
    <cellStyle name="Explanatory Text 14" xfId="385" xr:uid="{00000000-0005-0000-0000-000080010000}"/>
    <cellStyle name="Explanatory Text 2" xfId="386" xr:uid="{00000000-0005-0000-0000-000081010000}"/>
    <cellStyle name="Explanatory Text 3" xfId="387" xr:uid="{00000000-0005-0000-0000-000082010000}"/>
    <cellStyle name="Explanatory Text 4" xfId="388" xr:uid="{00000000-0005-0000-0000-000083010000}"/>
    <cellStyle name="Explanatory Text 5" xfId="389" xr:uid="{00000000-0005-0000-0000-000084010000}"/>
    <cellStyle name="Explanatory Text 6" xfId="390" xr:uid="{00000000-0005-0000-0000-000085010000}"/>
    <cellStyle name="Explanatory Text 7" xfId="391" xr:uid="{00000000-0005-0000-0000-000086010000}"/>
    <cellStyle name="Explanatory Text 8" xfId="392" xr:uid="{00000000-0005-0000-0000-000087010000}"/>
    <cellStyle name="Explanatory Text 9" xfId="393" xr:uid="{00000000-0005-0000-0000-000088010000}"/>
    <cellStyle name="Good" xfId="394" builtinId="26" customBuiltin="1"/>
    <cellStyle name="Good 10" xfId="395" xr:uid="{00000000-0005-0000-0000-00008A010000}"/>
    <cellStyle name="Good 11" xfId="396" xr:uid="{00000000-0005-0000-0000-00008B010000}"/>
    <cellStyle name="Good 12" xfId="397" xr:uid="{00000000-0005-0000-0000-00008C010000}"/>
    <cellStyle name="Good 13" xfId="398" xr:uid="{00000000-0005-0000-0000-00008D010000}"/>
    <cellStyle name="Good 14" xfId="399" xr:uid="{00000000-0005-0000-0000-00008E010000}"/>
    <cellStyle name="Good 2" xfId="400" xr:uid="{00000000-0005-0000-0000-00008F010000}"/>
    <cellStyle name="Good 3" xfId="401" xr:uid="{00000000-0005-0000-0000-000090010000}"/>
    <cellStyle name="Good 4" xfId="402" xr:uid="{00000000-0005-0000-0000-000091010000}"/>
    <cellStyle name="Good 5" xfId="403" xr:uid="{00000000-0005-0000-0000-000092010000}"/>
    <cellStyle name="Good 6" xfId="404" xr:uid="{00000000-0005-0000-0000-000093010000}"/>
    <cellStyle name="Good 7" xfId="405" xr:uid="{00000000-0005-0000-0000-000094010000}"/>
    <cellStyle name="Good 8" xfId="406" xr:uid="{00000000-0005-0000-0000-000095010000}"/>
    <cellStyle name="Good 9" xfId="407" xr:uid="{00000000-0005-0000-0000-000096010000}"/>
    <cellStyle name="Heading 1" xfId="408" builtinId="16" customBuiltin="1"/>
    <cellStyle name="Heading 1 10" xfId="409" xr:uid="{00000000-0005-0000-0000-000098010000}"/>
    <cellStyle name="Heading 1 11" xfId="410" xr:uid="{00000000-0005-0000-0000-000099010000}"/>
    <cellStyle name="Heading 1 12" xfId="411" xr:uid="{00000000-0005-0000-0000-00009A010000}"/>
    <cellStyle name="Heading 1 13" xfId="412" xr:uid="{00000000-0005-0000-0000-00009B010000}"/>
    <cellStyle name="Heading 1 14" xfId="413" xr:uid="{00000000-0005-0000-0000-00009C010000}"/>
    <cellStyle name="Heading 1 2" xfId="414" xr:uid="{00000000-0005-0000-0000-00009D010000}"/>
    <cellStyle name="Heading 1 3" xfId="415" xr:uid="{00000000-0005-0000-0000-00009E010000}"/>
    <cellStyle name="Heading 1 4" xfId="416" xr:uid="{00000000-0005-0000-0000-00009F010000}"/>
    <cellStyle name="Heading 1 5" xfId="417" xr:uid="{00000000-0005-0000-0000-0000A0010000}"/>
    <cellStyle name="Heading 1 6" xfId="418" xr:uid="{00000000-0005-0000-0000-0000A1010000}"/>
    <cellStyle name="Heading 1 7" xfId="419" xr:uid="{00000000-0005-0000-0000-0000A2010000}"/>
    <cellStyle name="Heading 1 8" xfId="420" xr:uid="{00000000-0005-0000-0000-0000A3010000}"/>
    <cellStyle name="Heading 1 9" xfId="421" xr:uid="{00000000-0005-0000-0000-0000A4010000}"/>
    <cellStyle name="Heading 2" xfId="422" builtinId="17" customBuiltin="1"/>
    <cellStyle name="Heading 2 10" xfId="423" xr:uid="{00000000-0005-0000-0000-0000A6010000}"/>
    <cellStyle name="Heading 2 11" xfId="424" xr:uid="{00000000-0005-0000-0000-0000A7010000}"/>
    <cellStyle name="Heading 2 12" xfId="425" xr:uid="{00000000-0005-0000-0000-0000A8010000}"/>
    <cellStyle name="Heading 2 13" xfId="426" xr:uid="{00000000-0005-0000-0000-0000A9010000}"/>
    <cellStyle name="Heading 2 14" xfId="427" xr:uid="{00000000-0005-0000-0000-0000AA010000}"/>
    <cellStyle name="Heading 2 2" xfId="428" xr:uid="{00000000-0005-0000-0000-0000AB010000}"/>
    <cellStyle name="Heading 2 3" xfId="429" xr:uid="{00000000-0005-0000-0000-0000AC010000}"/>
    <cellStyle name="Heading 2 4" xfId="430" xr:uid="{00000000-0005-0000-0000-0000AD010000}"/>
    <cellStyle name="Heading 2 5" xfId="431" xr:uid="{00000000-0005-0000-0000-0000AE010000}"/>
    <cellStyle name="Heading 2 6" xfId="432" xr:uid="{00000000-0005-0000-0000-0000AF010000}"/>
    <cellStyle name="Heading 2 7" xfId="433" xr:uid="{00000000-0005-0000-0000-0000B0010000}"/>
    <cellStyle name="Heading 2 8" xfId="434" xr:uid="{00000000-0005-0000-0000-0000B1010000}"/>
    <cellStyle name="Heading 2 9" xfId="435" xr:uid="{00000000-0005-0000-0000-0000B2010000}"/>
    <cellStyle name="Heading 3" xfId="436" builtinId="18" customBuiltin="1"/>
    <cellStyle name="Heading 3 10" xfId="437" xr:uid="{00000000-0005-0000-0000-0000B4010000}"/>
    <cellStyle name="Heading 3 11" xfId="438" xr:uid="{00000000-0005-0000-0000-0000B5010000}"/>
    <cellStyle name="Heading 3 12" xfId="439" xr:uid="{00000000-0005-0000-0000-0000B6010000}"/>
    <cellStyle name="Heading 3 13" xfId="440" xr:uid="{00000000-0005-0000-0000-0000B7010000}"/>
    <cellStyle name="Heading 3 14" xfId="441" xr:uid="{00000000-0005-0000-0000-0000B8010000}"/>
    <cellStyle name="Heading 3 2" xfId="442" xr:uid="{00000000-0005-0000-0000-0000B9010000}"/>
    <cellStyle name="Heading 3 3" xfId="443" xr:uid="{00000000-0005-0000-0000-0000BA010000}"/>
    <cellStyle name="Heading 3 4" xfId="444" xr:uid="{00000000-0005-0000-0000-0000BB010000}"/>
    <cellStyle name="Heading 3 5" xfId="445" xr:uid="{00000000-0005-0000-0000-0000BC010000}"/>
    <cellStyle name="Heading 3 6" xfId="446" xr:uid="{00000000-0005-0000-0000-0000BD010000}"/>
    <cellStyle name="Heading 3 7" xfId="447" xr:uid="{00000000-0005-0000-0000-0000BE010000}"/>
    <cellStyle name="Heading 3 8" xfId="448" xr:uid="{00000000-0005-0000-0000-0000BF010000}"/>
    <cellStyle name="Heading 3 9" xfId="449" xr:uid="{00000000-0005-0000-0000-0000C0010000}"/>
    <cellStyle name="Heading 4" xfId="450" builtinId="19" customBuiltin="1"/>
    <cellStyle name="Heading 4 10" xfId="451" xr:uid="{00000000-0005-0000-0000-0000C2010000}"/>
    <cellStyle name="Heading 4 11" xfId="452" xr:uid="{00000000-0005-0000-0000-0000C3010000}"/>
    <cellStyle name="Heading 4 12" xfId="453" xr:uid="{00000000-0005-0000-0000-0000C4010000}"/>
    <cellStyle name="Heading 4 13" xfId="454" xr:uid="{00000000-0005-0000-0000-0000C5010000}"/>
    <cellStyle name="Heading 4 14" xfId="455" xr:uid="{00000000-0005-0000-0000-0000C6010000}"/>
    <cellStyle name="Heading 4 2" xfId="456" xr:uid="{00000000-0005-0000-0000-0000C7010000}"/>
    <cellStyle name="Heading 4 3" xfId="457" xr:uid="{00000000-0005-0000-0000-0000C8010000}"/>
    <cellStyle name="Heading 4 4" xfId="458" xr:uid="{00000000-0005-0000-0000-0000C9010000}"/>
    <cellStyle name="Heading 4 5" xfId="459" xr:uid="{00000000-0005-0000-0000-0000CA010000}"/>
    <cellStyle name="Heading 4 6" xfId="460" xr:uid="{00000000-0005-0000-0000-0000CB010000}"/>
    <cellStyle name="Heading 4 7" xfId="461" xr:uid="{00000000-0005-0000-0000-0000CC010000}"/>
    <cellStyle name="Heading 4 8" xfId="462" xr:uid="{00000000-0005-0000-0000-0000CD010000}"/>
    <cellStyle name="Heading 4 9" xfId="463" xr:uid="{00000000-0005-0000-0000-0000CE010000}"/>
    <cellStyle name="Input" xfId="464" builtinId="20" customBuiltin="1"/>
    <cellStyle name="Input 10" xfId="465" xr:uid="{00000000-0005-0000-0000-0000D0010000}"/>
    <cellStyle name="Input 11" xfId="466" xr:uid="{00000000-0005-0000-0000-0000D1010000}"/>
    <cellStyle name="Input 12" xfId="467" xr:uid="{00000000-0005-0000-0000-0000D2010000}"/>
    <cellStyle name="Input 13" xfId="468" xr:uid="{00000000-0005-0000-0000-0000D3010000}"/>
    <cellStyle name="Input 14" xfId="469" xr:uid="{00000000-0005-0000-0000-0000D4010000}"/>
    <cellStyle name="Input 2" xfId="470" xr:uid="{00000000-0005-0000-0000-0000D5010000}"/>
    <cellStyle name="Input 3" xfId="471" xr:uid="{00000000-0005-0000-0000-0000D6010000}"/>
    <cellStyle name="Input 4" xfId="472" xr:uid="{00000000-0005-0000-0000-0000D7010000}"/>
    <cellStyle name="Input 5" xfId="473" xr:uid="{00000000-0005-0000-0000-0000D8010000}"/>
    <cellStyle name="Input 6" xfId="474" xr:uid="{00000000-0005-0000-0000-0000D9010000}"/>
    <cellStyle name="Input 7" xfId="475" xr:uid="{00000000-0005-0000-0000-0000DA010000}"/>
    <cellStyle name="Input 8" xfId="476" xr:uid="{00000000-0005-0000-0000-0000DB010000}"/>
    <cellStyle name="Input 9" xfId="477" xr:uid="{00000000-0005-0000-0000-0000DC010000}"/>
    <cellStyle name="Linked Cell" xfId="478" builtinId="24" customBuiltin="1"/>
    <cellStyle name="Linked Cell 10" xfId="479" xr:uid="{00000000-0005-0000-0000-0000DE010000}"/>
    <cellStyle name="Linked Cell 11" xfId="480" xr:uid="{00000000-0005-0000-0000-0000DF010000}"/>
    <cellStyle name="Linked Cell 12" xfId="481" xr:uid="{00000000-0005-0000-0000-0000E0010000}"/>
    <cellStyle name="Linked Cell 13" xfId="482" xr:uid="{00000000-0005-0000-0000-0000E1010000}"/>
    <cellStyle name="Linked Cell 14" xfId="483" xr:uid="{00000000-0005-0000-0000-0000E2010000}"/>
    <cellStyle name="Linked Cell 2" xfId="484" xr:uid="{00000000-0005-0000-0000-0000E3010000}"/>
    <cellStyle name="Linked Cell 3" xfId="485" xr:uid="{00000000-0005-0000-0000-0000E4010000}"/>
    <cellStyle name="Linked Cell 4" xfId="486" xr:uid="{00000000-0005-0000-0000-0000E5010000}"/>
    <cellStyle name="Linked Cell 5" xfId="487" xr:uid="{00000000-0005-0000-0000-0000E6010000}"/>
    <cellStyle name="Linked Cell 6" xfId="488" xr:uid="{00000000-0005-0000-0000-0000E7010000}"/>
    <cellStyle name="Linked Cell 7" xfId="489" xr:uid="{00000000-0005-0000-0000-0000E8010000}"/>
    <cellStyle name="Linked Cell 8" xfId="490" xr:uid="{00000000-0005-0000-0000-0000E9010000}"/>
    <cellStyle name="Linked Cell 9" xfId="491" xr:uid="{00000000-0005-0000-0000-0000EA010000}"/>
    <cellStyle name="Neutral" xfId="492" builtinId="28" customBuiltin="1"/>
    <cellStyle name="Neutral 10" xfId="493" xr:uid="{00000000-0005-0000-0000-0000EC010000}"/>
    <cellStyle name="Neutral 11" xfId="494" xr:uid="{00000000-0005-0000-0000-0000ED010000}"/>
    <cellStyle name="Neutral 12" xfId="495" xr:uid="{00000000-0005-0000-0000-0000EE010000}"/>
    <cellStyle name="Neutral 13" xfId="496" xr:uid="{00000000-0005-0000-0000-0000EF010000}"/>
    <cellStyle name="Neutral 14" xfId="497" xr:uid="{00000000-0005-0000-0000-0000F0010000}"/>
    <cellStyle name="Neutral 2" xfId="498" xr:uid="{00000000-0005-0000-0000-0000F1010000}"/>
    <cellStyle name="Neutral 3" xfId="499" xr:uid="{00000000-0005-0000-0000-0000F2010000}"/>
    <cellStyle name="Neutral 4" xfId="500" xr:uid="{00000000-0005-0000-0000-0000F3010000}"/>
    <cellStyle name="Neutral 5" xfId="501" xr:uid="{00000000-0005-0000-0000-0000F4010000}"/>
    <cellStyle name="Neutral 6" xfId="502" xr:uid="{00000000-0005-0000-0000-0000F5010000}"/>
    <cellStyle name="Neutral 7" xfId="503" xr:uid="{00000000-0005-0000-0000-0000F6010000}"/>
    <cellStyle name="Neutral 8" xfId="504" xr:uid="{00000000-0005-0000-0000-0000F7010000}"/>
    <cellStyle name="Neutral 9" xfId="505" xr:uid="{00000000-0005-0000-0000-0000F8010000}"/>
    <cellStyle name="Normal" xfId="0" builtinId="0"/>
    <cellStyle name="Normal 4" xfId="506" xr:uid="{00000000-0005-0000-0000-0000FA010000}"/>
    <cellStyle name="Normal 5" xfId="507" xr:uid="{00000000-0005-0000-0000-0000FB010000}"/>
    <cellStyle name="Normal 6" xfId="508" xr:uid="{00000000-0005-0000-0000-0000FC010000}"/>
    <cellStyle name="Normal 7" xfId="509" xr:uid="{00000000-0005-0000-0000-0000FD010000}"/>
    <cellStyle name="Note 10" xfId="510" xr:uid="{00000000-0005-0000-0000-0000FE010000}"/>
    <cellStyle name="Note 11" xfId="511" xr:uid="{00000000-0005-0000-0000-0000FF010000}"/>
    <cellStyle name="Note 12" xfId="512" xr:uid="{00000000-0005-0000-0000-000000020000}"/>
    <cellStyle name="Note 13" xfId="513" xr:uid="{00000000-0005-0000-0000-000001020000}"/>
    <cellStyle name="Note 14" xfId="514" xr:uid="{00000000-0005-0000-0000-000002020000}"/>
    <cellStyle name="Note 15" xfId="515" xr:uid="{00000000-0005-0000-0000-000003020000}"/>
    <cellStyle name="Note 16" xfId="516" xr:uid="{00000000-0005-0000-0000-000004020000}"/>
    <cellStyle name="Note 17" xfId="517" xr:uid="{00000000-0005-0000-0000-000005020000}"/>
    <cellStyle name="Note 18" xfId="518" xr:uid="{00000000-0005-0000-0000-000006020000}"/>
    <cellStyle name="Note 19" xfId="519" xr:uid="{00000000-0005-0000-0000-000007020000}"/>
    <cellStyle name="Note 2" xfId="520" xr:uid="{00000000-0005-0000-0000-000008020000}"/>
    <cellStyle name="Note 20" xfId="521" xr:uid="{00000000-0005-0000-0000-000009020000}"/>
    <cellStyle name="Note 3" xfId="522" xr:uid="{00000000-0005-0000-0000-00000A020000}"/>
    <cellStyle name="Note 4" xfId="523" xr:uid="{00000000-0005-0000-0000-00000B020000}"/>
    <cellStyle name="Note 5" xfId="524" xr:uid="{00000000-0005-0000-0000-00000C020000}"/>
    <cellStyle name="Note 6" xfId="525" xr:uid="{00000000-0005-0000-0000-00000D020000}"/>
    <cellStyle name="Note 7" xfId="526" xr:uid="{00000000-0005-0000-0000-00000E020000}"/>
    <cellStyle name="Note 8" xfId="527" xr:uid="{00000000-0005-0000-0000-00000F020000}"/>
    <cellStyle name="Note 9" xfId="528" xr:uid="{00000000-0005-0000-0000-000010020000}"/>
    <cellStyle name="Output" xfId="529" builtinId="21" customBuiltin="1"/>
    <cellStyle name="Output 10" xfId="530" xr:uid="{00000000-0005-0000-0000-000012020000}"/>
    <cellStyle name="Output 11" xfId="531" xr:uid="{00000000-0005-0000-0000-000013020000}"/>
    <cellStyle name="Output 12" xfId="532" xr:uid="{00000000-0005-0000-0000-000014020000}"/>
    <cellStyle name="Output 13" xfId="533" xr:uid="{00000000-0005-0000-0000-000015020000}"/>
    <cellStyle name="Output 14" xfId="534" xr:uid="{00000000-0005-0000-0000-000016020000}"/>
    <cellStyle name="Output 2" xfId="535" xr:uid="{00000000-0005-0000-0000-000017020000}"/>
    <cellStyle name="Output 3" xfId="536" xr:uid="{00000000-0005-0000-0000-000018020000}"/>
    <cellStyle name="Output 4" xfId="537" xr:uid="{00000000-0005-0000-0000-000019020000}"/>
    <cellStyle name="Output 5" xfId="538" xr:uid="{00000000-0005-0000-0000-00001A020000}"/>
    <cellStyle name="Output 6" xfId="539" xr:uid="{00000000-0005-0000-0000-00001B020000}"/>
    <cellStyle name="Output 7" xfId="540" xr:uid="{00000000-0005-0000-0000-00001C020000}"/>
    <cellStyle name="Output 8" xfId="541" xr:uid="{00000000-0005-0000-0000-00001D020000}"/>
    <cellStyle name="Output 9" xfId="542" xr:uid="{00000000-0005-0000-0000-00001E020000}"/>
    <cellStyle name="Title" xfId="543" builtinId="15" customBuiltin="1"/>
    <cellStyle name="Total" xfId="544" builtinId="25" customBuiltin="1"/>
    <cellStyle name="Total 10" xfId="545" xr:uid="{00000000-0005-0000-0000-000021020000}"/>
    <cellStyle name="Total 11" xfId="546" xr:uid="{00000000-0005-0000-0000-000022020000}"/>
    <cellStyle name="Total 12" xfId="547" xr:uid="{00000000-0005-0000-0000-000023020000}"/>
    <cellStyle name="Total 13" xfId="548" xr:uid="{00000000-0005-0000-0000-000024020000}"/>
    <cellStyle name="Total 14" xfId="549" xr:uid="{00000000-0005-0000-0000-000025020000}"/>
    <cellStyle name="Total 2" xfId="550" xr:uid="{00000000-0005-0000-0000-000026020000}"/>
    <cellStyle name="Total 3" xfId="551" xr:uid="{00000000-0005-0000-0000-000027020000}"/>
    <cellStyle name="Total 4" xfId="552" xr:uid="{00000000-0005-0000-0000-000028020000}"/>
    <cellStyle name="Total 5" xfId="553" xr:uid="{00000000-0005-0000-0000-000029020000}"/>
    <cellStyle name="Total 6" xfId="554" xr:uid="{00000000-0005-0000-0000-00002A020000}"/>
    <cellStyle name="Total 7" xfId="555" xr:uid="{00000000-0005-0000-0000-00002B020000}"/>
    <cellStyle name="Total 8" xfId="556" xr:uid="{00000000-0005-0000-0000-00002C020000}"/>
    <cellStyle name="Total 9" xfId="557" xr:uid="{00000000-0005-0000-0000-00002D020000}"/>
    <cellStyle name="Warning Text" xfId="558" builtinId="11" customBuiltin="1"/>
    <cellStyle name="Warning Text 10" xfId="559" xr:uid="{00000000-0005-0000-0000-00002F020000}"/>
    <cellStyle name="Warning Text 11" xfId="560" xr:uid="{00000000-0005-0000-0000-000030020000}"/>
    <cellStyle name="Warning Text 12" xfId="561" xr:uid="{00000000-0005-0000-0000-000031020000}"/>
    <cellStyle name="Warning Text 13" xfId="562" xr:uid="{00000000-0005-0000-0000-000032020000}"/>
    <cellStyle name="Warning Text 14" xfId="563" xr:uid="{00000000-0005-0000-0000-000033020000}"/>
    <cellStyle name="Warning Text 2" xfId="564" xr:uid="{00000000-0005-0000-0000-000034020000}"/>
    <cellStyle name="Warning Text 3" xfId="565" xr:uid="{00000000-0005-0000-0000-000035020000}"/>
    <cellStyle name="Warning Text 4" xfId="566" xr:uid="{00000000-0005-0000-0000-000036020000}"/>
    <cellStyle name="Warning Text 5" xfId="567" xr:uid="{00000000-0005-0000-0000-000037020000}"/>
    <cellStyle name="Warning Text 6" xfId="568" xr:uid="{00000000-0005-0000-0000-000038020000}"/>
    <cellStyle name="Warning Text 7" xfId="569" xr:uid="{00000000-0005-0000-0000-000039020000}"/>
    <cellStyle name="Warning Text 8" xfId="570" xr:uid="{00000000-0005-0000-0000-00003A020000}"/>
    <cellStyle name="Warning Text 9" xfId="571" xr:uid="{00000000-0005-0000-0000-00003B020000}"/>
  </cellStyles>
  <dxfs count="2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z val="13"/>
        <color theme="1"/>
        <name val="Times New Roman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1914526</xdr:colOff>
      <xdr:row>3</xdr:row>
      <xdr:rowOff>361950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A29A98E-5743-47A8-A8AE-2B5731D5D133}"/>
            </a:ext>
          </a:extLst>
        </xdr:cNvPr>
        <xdr:cNvGrpSpPr/>
      </xdr:nvGrpSpPr>
      <xdr:grpSpPr>
        <a:xfrm>
          <a:off x="0" y="0"/>
          <a:ext cx="1914526" cy="533400"/>
          <a:chOff x="12096749" y="1309687"/>
          <a:chExt cx="1916907" cy="523876"/>
        </a:xfrm>
      </xdr:grpSpPr>
      <xdr:sp macro="[0]!RefreshAllPivots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6DB8AC2A-3D93-4A99-A701-7A3B20B419AE}"/>
              </a:ext>
            </a:extLst>
          </xdr:cNvPr>
          <xdr:cNvSpPr/>
        </xdr:nvSpPr>
        <xdr:spPr>
          <a:xfrm>
            <a:off x="12096749" y="1309687"/>
            <a:ext cx="1916907" cy="523875"/>
          </a:xfrm>
          <a:prstGeom prst="roundRect">
            <a:avLst/>
          </a:prstGeom>
        </xdr:spPr>
        <xdr:style>
          <a:lnRef idx="0">
            <a:schemeClr val="accent5"/>
          </a:lnRef>
          <a:fillRef idx="3">
            <a:schemeClr val="accent5"/>
          </a:fillRef>
          <a:effectRef idx="3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Refresh Data</a:t>
            </a:r>
          </a:p>
        </xdr:txBody>
      </xdr:sp>
      <xdr:pic>
        <xdr:nvPicPr>
          <xdr:cNvPr id="4" name="Graphic 3" descr="Repeat">
            <a:extLst>
              <a:ext uri="{FF2B5EF4-FFF2-40B4-BE49-F238E27FC236}">
                <a16:creationId xmlns:a16="http://schemas.microsoft.com/office/drawing/2014/main" id="{BB6E4F51-D57B-4793-B269-7875114EA1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2239625" y="1381125"/>
            <a:ext cx="452438" cy="45243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0</xdr:row>
      <xdr:rowOff>138113</xdr:rowOff>
    </xdr:from>
    <xdr:to>
      <xdr:col>12</xdr:col>
      <xdr:colOff>1388270</xdr:colOff>
      <xdr:row>3</xdr:row>
      <xdr:rowOff>19049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AA58342-CAFD-4925-9349-7BE9054FD84E}"/>
            </a:ext>
          </a:extLst>
        </xdr:cNvPr>
        <xdr:cNvGrpSpPr/>
      </xdr:nvGrpSpPr>
      <xdr:grpSpPr>
        <a:xfrm>
          <a:off x="10368915" y="138113"/>
          <a:ext cx="2083595" cy="513396"/>
          <a:chOff x="13108781" y="416719"/>
          <a:chExt cx="2035970" cy="533399"/>
        </a:xfrm>
      </xdr:grpSpPr>
      <xdr:sp macro="[0]!Final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C617C7DA-39AD-4E96-844B-292907545AF8}"/>
              </a:ext>
            </a:extLst>
          </xdr:cNvPr>
          <xdr:cNvSpPr/>
        </xdr:nvSpPr>
        <xdr:spPr>
          <a:xfrm>
            <a:off x="13108781" y="416719"/>
            <a:ext cx="2035970" cy="523875"/>
          </a:xfrm>
          <a:prstGeom prst="roundRect">
            <a:avLst/>
          </a:prstGeom>
          <a:gradFill flip="none" rotWithShape="1">
            <a:gsLst>
              <a:gs pos="0">
                <a:schemeClr val="dk1">
                  <a:lumMod val="67000"/>
                </a:schemeClr>
              </a:gs>
              <a:gs pos="48000">
                <a:schemeClr val="dk1">
                  <a:lumMod val="97000"/>
                  <a:lumOff val="3000"/>
                </a:schemeClr>
              </a:gs>
              <a:gs pos="100000">
                <a:schemeClr val="dk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latin typeface="Verdana" panose="020B0604030504040204" pitchFamily="34" charset="0"/>
                <a:ea typeface="Verdana" panose="020B0604030504040204" pitchFamily="34" charset="0"/>
              </a:rPr>
              <a:t>Print</a:t>
            </a:r>
            <a:r>
              <a:rPr lang="en-US" sz="1400" baseline="0">
                <a:latin typeface="Verdana" panose="020B0604030504040204" pitchFamily="34" charset="0"/>
                <a:ea typeface="Verdana" panose="020B0604030504040204" pitchFamily="34" charset="0"/>
              </a:rPr>
              <a:t> HS Form</a:t>
            </a:r>
            <a:endParaRPr lang="en-US" sz="1400"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 macro="[0]!Final">
        <xdr:nvPicPr>
          <xdr:cNvPr id="6" name="Graphic 5" descr="Document">
            <a:extLst>
              <a:ext uri="{FF2B5EF4-FFF2-40B4-BE49-F238E27FC236}">
                <a16:creationId xmlns:a16="http://schemas.microsoft.com/office/drawing/2014/main" id="{31F83BDB-D85D-47E1-85D7-E187CBCBBF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215937" y="426243"/>
            <a:ext cx="523875" cy="52387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653288</xdr:colOff>
      <xdr:row>7</xdr:row>
      <xdr:rowOff>115060</xdr:rowOff>
    </xdr:from>
    <xdr:to>
      <xdr:col>0</xdr:col>
      <xdr:colOff>924460</xdr:colOff>
      <xdr:row>7</xdr:row>
      <xdr:rowOff>342902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B9F3AE19-3EBC-46E8-ADDF-A6A9BC0445AC}"/>
            </a:ext>
          </a:extLst>
        </xdr:cNvPr>
        <xdr:cNvSpPr/>
      </xdr:nvSpPr>
      <xdr:spPr>
        <a:xfrm rot="16200000">
          <a:off x="681037" y="2824161"/>
          <a:ext cx="227842" cy="2769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G" refreshedDate="45789.549922337967" createdVersion="6" refreshedVersion="5" minRefreshableVersion="3" recordCount="202" xr:uid="{00000000-000A-0000-FFFF-FFFF20000000}">
  <cacheSource type="worksheet">
    <worksheetSource name="Table1"/>
  </cacheSource>
  <cacheFields count="21">
    <cacheField name="Carton No" numFmtId="0">
      <sharedItems/>
    </cacheField>
    <cacheField name="Ship To" numFmtId="0">
      <sharedItems/>
    </cacheField>
    <cacheField name="Customer Name" numFmtId="0">
      <sharedItems/>
    </cacheField>
    <cacheField name="Ship Method" numFmtId="0">
      <sharedItems/>
    </cacheField>
    <cacheField name="FOB Condition" numFmtId="0">
      <sharedItems/>
    </cacheField>
    <cacheField name="Original Part No." numFmtId="0">
      <sharedItems containsBlank="1"/>
    </cacheField>
    <cacheField name="Item" numFmtId="0">
      <sharedItems containsMixedTypes="1" containsNumber="1" containsInteger="1" minValue="5400377299" maxValue="5400377299"/>
    </cacheField>
    <cacheField name="Item Desc" numFmtId="0">
      <sharedItems/>
    </cacheField>
    <cacheField name="Model" numFmtId="0">
      <sharedItems/>
    </cacheField>
    <cacheField name="Product" numFmtId="0">
      <sharedItems/>
    </cacheField>
    <cacheField name="Order No" numFmtId="0">
      <sharedItems containsSemiMixedTypes="0" containsString="0" containsNumber="1" containsInteger="1" minValue="700575881" maxValue="700580440"/>
    </cacheField>
    <cacheField name="Line No" numFmtId="0">
      <sharedItems containsSemiMixedTypes="0" containsString="0" containsNumber="1" minValue="1.1000000000000001" maxValue="39.1"/>
    </cacheField>
    <cacheField name="Customer ref" numFmtId="0">
      <sharedItems containsSemiMixedTypes="0" containsString="0" containsNumber="1" containsInteger="1" minValue="40739" maxValue="41250"/>
    </cacheField>
    <cacheField name="Quantity" numFmtId="0">
      <sharedItems containsSemiMixedTypes="0" containsString="0" containsNumber="1" containsInteger="1" minValue="1" maxValue="22"/>
    </cacheField>
    <cacheField name="U-Price" numFmtId="0">
      <sharedItems containsSemiMixedTypes="0" containsString="0" containsNumber="1" minValue="0.55000000000000004" maxValue="329.98"/>
    </cacheField>
    <cacheField name="Amount" numFmtId="0">
      <sharedItems containsSemiMixedTypes="0" containsString="0" containsNumber="1" minValue="0.55000000000000004" maxValue="659.96"/>
    </cacheField>
    <cacheField name="HS Code" numFmtId="0">
      <sharedItems containsSemiMixedTypes="0" containsString="0" containsNumber="1" containsInteger="1" minValue="84149000" maxValue="871690100001" count="23">
        <n v="84189990"/>
        <n v="84509000"/>
        <n v="85299090"/>
        <n v="85169000"/>
        <n v="84159000"/>
        <n v="85087000"/>
        <n v="85229000"/>
        <n v="850110000001" u="1"/>
        <n v="854071000000" u="1"/>
        <n v="84509010" u="1"/>
        <n v="854040000000" u="1"/>
        <n v="84149000" u="1"/>
        <n v="85439090" u="1"/>
        <n v="850610100000" u="1"/>
        <n v="871690100001" u="1"/>
        <n v="841430000000" u="1"/>
        <n v="841899100000" u="1"/>
        <n v="84219900" u="1"/>
        <n v="841790000000" u="1"/>
        <n v="854590000003" u="1"/>
        <n v="850590000000" u="1"/>
        <n v="84733000" u="1"/>
        <n v="854370900004" u="1"/>
      </sharedItems>
    </cacheField>
    <cacheField name="Origin" numFmtId="0">
      <sharedItems containsBlank="1" count="28">
        <s v="SOUTH KOREA"/>
        <s v="VIETNAM"/>
        <s v="CHINA"/>
        <s v="ITALY"/>
        <s v="INDONESIA"/>
        <m u="1"/>
        <s v="G" u="1"/>
        <s v="SAUDI ARABIA" u="1"/>
        <s v="Z" u="1"/>
        <s v="E" u="1"/>
        <s v="X" u="1"/>
        <s v="INDIA" u="1"/>
        <s v="Q" u="1"/>
        <s v="C" u="1"/>
        <s v="V" u="1"/>
        <s v="KOREA" u="1"/>
        <s v="T" u="1"/>
        <s v="POLAND" u="1"/>
        <s v="F" u="1"/>
        <s v="Y" u="1"/>
        <s v="R" u="1"/>
        <s v="THAILAND" u="1"/>
        <s v="AAAAA" u="1"/>
        <s v="W" u="1"/>
        <s v="TURKEY" u="1"/>
        <s v="THE NETHERLANDS" u="1"/>
        <s v="B" u="1"/>
        <s v="U" u="1"/>
      </sharedItems>
    </cacheField>
    <cacheField name="Description" numFmtId="0">
      <sharedItems count="19">
        <s v="Spare part for Refrigerator"/>
        <s v="Spare part for Washing Machine "/>
        <s v="Spare part for TV/Monitor/CS"/>
        <s v="Spare part for Microwave (Cooking / Appliance ) "/>
        <s v="Spare part for Airconditioner"/>
        <s v="Spare part for Vaccum Cleaner (Home / Appliance )"/>
        <s v="Spare part for AV"/>
        <s v="Spare part for AV DVD / AO" u="1"/>
        <s v="Spare part for Air Purifier" u="1"/>
        <s v="Spare part for TV / HT / CS / MONITOR (MN) / PC" u="1"/>
        <s v="Spare parts for Mobile Phone Battery / IECEE" u="1"/>
        <s v="GSM part for Mobile Phone" u="1"/>
        <s v="Spare parts - Compressor" u="1"/>
        <s v="Spare part for PC" u="1"/>
        <e v="#N/A" u="1"/>
        <s v="Spare part for Airconditioner / HC / HN / Health Care" u="1"/>
        <s v="Spare parts - Motor " u="1"/>
        <s v="Spare part for Vaccum Cleaner (Home / Appliance ) / Household / HA" u="1"/>
        <s v="Spare part for Microwave (Cooking / Appliance )  / CA" u="1"/>
      </sharedItems>
    </cacheField>
    <cacheField name="Unadjusted Weight" numFmtId="0">
      <sharedItems containsSemiMixedTypes="0" containsString="0" containsNumber="1" minValue="1.1499999999999999" maxValue="25.23"/>
    </cacheField>
    <cacheField name="Final Weight" numFmtId="0">
      <sharedItems containsSemiMixedTypes="0" containsString="0" containsNumber="1" minValue="1.1499999999999999" maxValue="25.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as Mourad/Algeria Branch Treasury Part" refreshedDate="45863.883134722222" createdVersion="6" refreshedVersion="8" recordCount="2" xr:uid="{00000000-000A-0000-FFFF-FFFF23000000}">
  <cacheSource type="worksheet">
    <worksheetSource ref="A5:R2251" sheet="data"/>
  </cacheSource>
  <cacheFields count="18">
    <cacheField name="Carton No" numFmtId="0">
      <sharedItems containsBlank="1" count="8000">
        <s v="CTN6053813001"/>
        <m/>
        <s v="CTN1977174809" u="1"/>
        <s v="TRS3104303301" u="1"/>
        <s v="TRS3327824201" u="1"/>
        <s v="CTN3070164101" u="1"/>
        <s v="TRS5793580601" u="1"/>
        <s v="CTN3048549401" u="1"/>
        <s v="TRS3142395501" u="1"/>
        <s v="TRS3104303401" u="1"/>
        <s v="CTN1982423402" u="1"/>
        <s v="CTN3068482001" u="1"/>
        <s v="TRS3327824301" u="1"/>
        <s v="CTN1970312101" u="1"/>
        <s v="CTN2007923901" u="1"/>
        <s v="CTN3107825201" u="1"/>
        <s v="CTN3347627401" u="1"/>
        <s v="CTN2007256104" u="1"/>
        <s v="CTN3353243001" u="1"/>
        <s v="CTN5870742101" u="1"/>
        <s v="TRS3142395601" u="1"/>
        <s v="TRS3104303501" u="1"/>
        <s v="TRS3327824401" u="1"/>
        <s v="TRS3219596602" u="1"/>
        <s v="CTN3311963001" u="1"/>
        <s v="CTN1711662408" u="1"/>
        <s v="CTN1987320903" u="1"/>
        <s v="CTN3353243101" u="1"/>
        <s v="TRS3142395701" u="1"/>
        <s v="TRS3104303601" u="1"/>
        <s v="TRS3327824501" u="1"/>
        <s v="CTN1977781414" u="1"/>
        <s v="CTN1721642501" u="1"/>
        <s v="CTN1706909505" u="1"/>
        <s v="CTN3320814801" u="1"/>
        <s v="TRS3142395801" u="1"/>
        <s v="CTN1714960601" u="1"/>
        <s v="TRS3104303701" u="1"/>
        <s v="TRS3327824601" u="1"/>
        <s v="CTN3230090101" u="1"/>
        <s v="CTN1698579401" u="1"/>
        <s v="CTN2008748406" u="1"/>
        <s v="TRS3142395901" u="1"/>
        <s v="TRS3327824701" u="1"/>
        <s v="CTN1974312301" u="1"/>
        <s v="TRS3327824801" u="1"/>
        <s v="CTN1714073201" u="1"/>
        <s v="CTN1721656805" u="1"/>
        <s v="CTN1989643405" u="1"/>
        <s v="CTN1989243611" u="1"/>
        <s v="TRS3327824901" u="1"/>
        <s v="TRS3277247001" u="1"/>
        <s v="TRS3579960301" u="1"/>
        <s v="CTN1974312601" u="1"/>
        <s v="CTN1715817603" u="1"/>
        <s v="CTN2007837201" u="1"/>
        <s v="TRS3277247101" u="1"/>
        <s v="CTN2015519101" u="1"/>
        <s v="CTN5787522101" u="1"/>
        <s v="CTN1989234003" u="1"/>
        <s v="CTN3222743301" u="1"/>
        <s v="TRS3277247201" u="1"/>
        <s v="CTN1965495104" u="1"/>
        <s v="CTN2008754901" u="1"/>
        <s v="TRS3291329001" u="1"/>
        <s v="CTN2007837401" u="1"/>
        <s v="CTN4942093301" u="1"/>
        <s v="TRS3277247301" u="1"/>
        <s v="CTN1967192901" u="1"/>
        <s v="CTN3100656701" u="1"/>
        <s v="CTN2000379802" u="1"/>
        <s v="CTN2010693003" u="1"/>
        <s v="TRS3291329101" u="1"/>
        <s v="CTN1971649307" u="1"/>
        <s v="CTN3154084101" u="1"/>
        <s v="TRS3277247401" u="1"/>
        <s v="CTN1995102103" u="1"/>
        <s v="CTN1726539701" u="1"/>
        <s v="CTN1944339002" u="1"/>
        <s v="TRS3291329201" u="1"/>
        <s v="CTN1974143201" u="1"/>
        <s v="CTN3301709202" u="1"/>
        <s v="TRS3277247501" u="1"/>
        <s v="CTN1707414304" u="1"/>
        <s v="CTN1684903001" u="1"/>
        <s v="CTN1664323604" u="1"/>
        <s v="TRS3291329301" u="1"/>
        <s v="CTN3223743701" u="1"/>
        <s v="TRS3065126301" u="1"/>
        <s v="CTN2001336005" u="1"/>
        <s v="CTN1996874105" u="1"/>
        <s v="CTN1984577004" u="1"/>
        <s v="TRS3291329401" u="1"/>
        <s v="CTN2015519701" u="1"/>
        <s v="CTN1711522206" u="1"/>
        <s v="CTN1963215904" u="1"/>
        <s v="CTN3137085301" u="1"/>
        <s v="CTN1982454806" u="1"/>
        <s v="TRS3291329501" u="1"/>
        <s v="CTN1999474125" u="1"/>
        <s v="CTN3047835101" u="1"/>
        <s v="CTN1714030104" u="1"/>
        <s v="TRS3291329601" u="1"/>
        <s v="CTN1714050203" u="1"/>
        <s v="CTN1965358401" u="1"/>
        <s v="CTN3313262501" u="1"/>
        <s v="CTN3156522601" u="1"/>
        <s v="TRS3291329701" u="1"/>
        <s v="CTN1736555309" u="1"/>
        <s v="TRS3075992001" u="1"/>
        <s v="CTN3095964901" u="1"/>
        <s v="TRS3291329801" u="1"/>
        <s v="CTN2002322401" u="1"/>
        <s v="CTN1714050217" u="1"/>
        <s v="CTN1719834403" u="1"/>
        <s v="CTN3063396601" u="1"/>
        <s v="CTN3156522801" u="1"/>
        <s v="TRS3075992101" u="1"/>
        <s v="CTN3083916101" u="1"/>
        <s v="TRS3291329901" u="1"/>
        <s v="CTN1977875605" u="1"/>
        <s v="CTN3065648801" u="1"/>
        <s v="CTN3313262801" u="1"/>
        <s v="TRS3075992201" u="1"/>
        <s v="TRS3421843001" u="1"/>
        <s v="CTN1710290605" u="1"/>
        <s v="CTN1987317703" u="1"/>
        <s v="CTN3063396801" u="1"/>
        <s v="CTN3229388501" u="1"/>
        <s v="CTN1983251503" u="1"/>
        <s v="CTN3068648801" u="1"/>
        <s v="CTN3076450101" u="1"/>
        <s v="TRS3421843101" u="1"/>
        <s v="CTN1987317803" u="1"/>
        <s v="CTN3063396901" u="1"/>
        <s v="CTN1702743701" u="1"/>
        <s v="CTN1960169402" u="1"/>
        <s v="CTN3227909201" u="1"/>
        <s v="TRS3421843201" u="1"/>
        <s v="TRS3055358001" u="1"/>
        <s v="CTN1698899404" u="1"/>
        <s v="CTN1714957501" u="1"/>
        <s v="CTN1938694101" u="1"/>
        <s v="CTN1974309101" u="1"/>
        <s v="TRS3075992501" u="1"/>
        <s v="CTN2002502706" u="1"/>
        <s v="TRS3421843301" u="1"/>
        <s v="CTN1995923502" u="1"/>
        <s v="CTN2007917102" u="1"/>
        <s v="CTN2012284501" u="1"/>
        <s v="TRS3055358101" u="1"/>
        <s v="CTN3005854001" u="1"/>
        <s v="CTN1694903721" u="1"/>
        <s v="CTN5681282201" u="1"/>
        <s v="CTN2994860401" u="1"/>
        <s v="TRS3421843401" u="1"/>
        <s v="CTN1967887102" u="1"/>
        <s v="CTN3297751412" u="1"/>
        <s v="TRS3055358201" u="1"/>
        <s v="CTN5706011701" u="1"/>
        <s v="CTN1677108803" u="1"/>
        <s v="CTN1720573301" u="1"/>
        <s v="CTN1984374301" u="1"/>
        <s v="TRS3421843501" u="1"/>
        <s v="TRS3055358301" u="1"/>
        <s v="CTN1983560201" u="1"/>
        <s v="CTN5681282401" u="1"/>
        <s v="CTN1709099902" u="1"/>
        <s v="CTN1973140602" u="1"/>
        <s v="CTN1984594204" u="1"/>
        <s v="CTN2005030803" u="1"/>
        <s v="TRS3421843601" u="1"/>
        <s v="CTN3297765802" u="1"/>
        <s v="TRS3055358401" u="1"/>
        <s v="CTN1707826301" u="1"/>
        <s v="CTN1718270806" u="1"/>
        <s v="CTN2991860801" u="1"/>
        <s v="CTN5869525301" u="1"/>
        <s v="CTN3137437101" u="1"/>
        <s v="CTN3098532001" u="1"/>
        <s v="TRS3421843701" u="1"/>
        <s v="CTN1707826401" u="1"/>
        <s v="CTN1987368406" u="1"/>
        <s v="CTN5681282601" u="1"/>
        <s v="CTN5755223901" u="1"/>
        <s v="CTN3305214501" u="1"/>
        <s v="CTN2016619401" u="1"/>
        <s v="CTN1994691801" u="1"/>
        <s v="TRS3421843801" u="1"/>
        <s v="CTN1984606902" u="1"/>
        <s v="CTN3758323901" u="1"/>
        <s v="TRS3421843901" u="1"/>
        <s v="CTN1694350201" u="1"/>
        <s v="CTN1978360505" u="1"/>
        <s v="CTN1721636102" u="1"/>
        <s v="CTN1967189801" u="1"/>
        <s v="CTN5747186601" u="1"/>
        <s v="CTN3307400401" u="1"/>
        <s v="CTN3053002501" u="1"/>
        <s v="CTN3006322601" u="1"/>
        <s v="CTN1715708405" u="1"/>
        <s v="CTN1701637202" u="1"/>
        <s v="CTN1705637002" u="1"/>
        <s v="CTN1987314704" u="1"/>
        <s v="CTN1690965001" u="1"/>
        <s v="CTN3077095401" u="1"/>
        <s v="CTN1979995104" u="1"/>
        <s v="CTN5883169501" u="1"/>
        <s v="CTN3088495101" u="1"/>
        <s v="CTN1690227302" u="1"/>
        <s v="CTN1968501604" u="1"/>
        <s v="CTN1978340806" u="1"/>
        <s v="CTN1979995204" u="1"/>
        <s v="CTN3137437701" u="1"/>
        <s v="CTN1711662404" u="1"/>
        <s v="CTN1999402207" u="1"/>
        <s v="CTN2013275407" u="1"/>
        <s v="CTN3291024904" u="1"/>
        <s v="CTN3043151201" u="1"/>
        <s v="CTN3098532601" u="1"/>
        <s v="CTN1968521703" u="1"/>
        <s v="CTN2016610908" u="1"/>
        <s v="CTN2946293801" u="1"/>
        <s v="CTN1977781410" u="1"/>
        <s v="CTN5883169701" u="1"/>
        <s v="CTN1706909501" u="1"/>
        <s v="CTN3098532701" u="1"/>
        <s v="CTN3106587301" u="1"/>
        <s v="CTN1970512201" u="1"/>
        <s v="CTN1974326201" u="1"/>
        <s v="CTN3056179201" u="1"/>
        <s v="CTN3308680601" u="1"/>
        <s v="CTN3137531307" u="1"/>
        <s v="CTN1701551203" u="1"/>
        <s v="CTN1965392201" u="1"/>
        <s v="CTN2008748402" u="1"/>
        <s v="CTN3106587401" u="1"/>
        <s v="TRS3057813201" u="1"/>
        <s v="CTN1721642511" u="1"/>
        <s v="CTN1942659705" u="1"/>
        <s v="CTN1973151607" u="1"/>
        <s v="TRS2747917001" u="1"/>
        <s v="CTN5700288001" u="1"/>
        <s v="TRS3057813301" u="1"/>
        <s v="CTN3006153401" u="1"/>
        <s v="CTN1721656801" u="1"/>
        <s v="CTN1987417703" u="1"/>
        <s v="CTN1699413102" u="1"/>
        <s v="CTN1705399406" u="1"/>
        <s v="CTN1718505102" u="1"/>
        <s v="TRS3057813401" u="1"/>
        <s v="CTN1997579207" u="1"/>
        <s v="CTN5735138501" u="1"/>
        <s v="CTN3050448101" u="1"/>
        <s v="TRS3057813501" u="1"/>
        <s v="CTN1979995804" u="1"/>
        <s v="CTN3060233301" u="1"/>
        <s v="TRS3344854201" u="1"/>
        <s v="TRS3100520201" u="1"/>
        <s v="CTN1684396201" u="1"/>
        <s v="CTN3114455501" u="1"/>
        <s v="TRS3344854301" u="1"/>
        <s v="CTN2952776701" u="1"/>
        <s v="CTN1968830601" u="1"/>
        <s v="CTN3004685901" u="1"/>
        <s v="TRS3100520301" u="1"/>
        <s v="CTN3223691001" u="1"/>
        <s v="TRS3344854401" u="1"/>
        <s v="CTN1995073601" u="1"/>
        <s v="TRS3075989301" u="1"/>
        <s v="CTN1968830701" u="1"/>
        <s v="CTN1994408301" u="1"/>
        <s v="CTN3050448401" u="1"/>
        <s v="CTN3215011501" u="1"/>
        <s v="TRS3100520401" u="1"/>
        <s v="CTN1693653704" u="1"/>
        <s v="CTN1721550903" u="1"/>
        <s v="CTN3096895801" u="1"/>
        <s v="TRS3075989401" u="1"/>
        <s v="CTN1730990601" u="1"/>
        <s v="CTN1968830801" u="1"/>
        <s v="TRS3100520501" u="1"/>
        <s v="CTN1984600204" u="1"/>
        <s v="CTN3289167909" u="1"/>
        <s v="CTN1967192911" u="1"/>
        <s v="TRS3075989501" u="1"/>
        <s v="CTN1980537102" u="1"/>
        <s v="CTN5870307601" u="1"/>
        <s v="TRS3100520601" u="1"/>
        <s v="CTN1984600304" u="1"/>
        <s v="CTN3757955801" u="1"/>
        <s v="CTN1987912401" u="1"/>
        <s v="CTN1983537002" u="1"/>
        <s v="CTN2945393301" u="1"/>
        <s v="CTN3229411201" u="1"/>
        <s v="TRS3100520701" u="1"/>
        <s v="TRS3214570001" u="1"/>
        <s v="CTN1718493404" u="1"/>
        <s v="TRS3423225901" u="1"/>
        <s v="TRS3075989701" u="1"/>
        <s v="TRS3100520801" u="1"/>
        <s v="TRS3214570101" u="1"/>
        <s v="CTN1982454802" u="1"/>
        <s v="CTN3050196601" u="1"/>
        <s v="CTN1999474121" u="1"/>
        <s v="CTN1977772802" u="1"/>
        <s v="CTN1701468902" u="1"/>
        <s v="CTN3155098501" u="1"/>
        <s v="CTN3314994201" u="1"/>
        <s v="TRS3074288001" u="1"/>
        <s v="TRS3100520901" u="1"/>
        <s v="TRS3214570201" u="1"/>
        <s v="CTN1973869506" u="1"/>
        <s v="CTN3050196701" u="1"/>
        <s v="CTN3053717001" u="1"/>
        <s v="CTN1961744201" u="1"/>
        <s v="CTN1974091201" u="1"/>
        <s v="CTN1705408805" u="1"/>
        <s v="CTN1711522216" u="1"/>
        <s v="CTN3098529001" u="1"/>
        <s v="TRS3075989901" u="1"/>
        <s v="TRS3214570301" u="1"/>
        <s v="CTN3170366101" u="1"/>
        <s v="CTN1973869606" u="1"/>
        <s v="CTN1686084704" u="1"/>
        <s v="CTN1989640502" u="1"/>
        <s v="TRS3214570401" u="1"/>
        <s v="CTN1736555305" u="1"/>
        <s v="CTN3308780401" u="1"/>
        <s v="CTN3510097001" u="1"/>
        <s v="CTN1974091401" u="1"/>
        <s v="CTN1997408901" u="1"/>
        <s v="CTN2013633416" u="1"/>
        <s v="CTN3315276601" u="1"/>
        <s v="CTN1980491301" u="1"/>
        <s v="CTN5755154701" u="1"/>
        <s v="CTN2758606001" u="1"/>
        <s v="CTN1974303803" u="1"/>
        <s v="CTN3138285601" u="1"/>
        <s v="TRS2943140401" u="1"/>
        <s v="CTN1967212301" u="1"/>
        <s v="CTN3229242101" u="1"/>
        <s v="CTN2009316402" u="1"/>
        <s v="CTN5754955201" u="1"/>
        <s v="TRS2943140501" u="1"/>
        <s v="CTN3229242201" u="1"/>
        <s v="CTN3305331301" u="1"/>
        <s v="TRS3057810902" u="1"/>
        <s v="TRS2950969001" u="1"/>
        <s v="TRS2943140601" u="1"/>
        <s v="CTN3298705401" u="1"/>
        <s v="CTN2002502702" u="1"/>
        <s v="CTN1981826301" u="1"/>
        <s v="CTN3061865201" u="1"/>
        <s v="CTN1974091901" u="1"/>
        <s v="TRS2950969101" u="1"/>
        <s v="CTN3139285901" u="1"/>
        <s v="CTN3214989501" u="1"/>
        <s v="TRS2943140701" u="1"/>
        <s v="TRS2950969201" u="1"/>
        <s v="CTN3214989601" u="1"/>
        <s v="TRS2943140801" u="1"/>
        <s v="CTN3298705601" u="1"/>
        <s v="CTN1701242001" u="1"/>
        <s v="CTN3315013401" u="1"/>
        <s v="CTN1994405702" u="1"/>
        <s v="CTN3070464801" u="1"/>
        <s v="CTN1995923512" u="1"/>
        <s v="CTN3182234401" u="1"/>
        <s v="TRS2950969301" u="1"/>
        <s v="CTN1966998707" u="1"/>
        <s v="CTN3298519901" u="1"/>
        <s v="CTN3048065901" u="1"/>
        <s v="CTN1715708001" u="1"/>
        <s v="TRS2950969401" u="1"/>
        <s v="CTN1713513308" u="1"/>
        <s v="CTN5706826201" u="1"/>
        <s v="CTN3315013601" u="1"/>
        <s v="CTN3304694101" u="1"/>
        <s v="CTN3305946301" u="1"/>
        <s v="CTN1961755306" u="1"/>
        <s v="CTN3062081301" u="1"/>
        <s v="TRS2950969501" u="1"/>
        <s v="CTN1987368402" u="1"/>
        <s v="CTN3229325201" u="1"/>
        <s v="CTN1967223006" u="1"/>
        <s v="CTN1977174601" u="1"/>
        <s v="CTN3229242801" u="1"/>
        <s v="CTN3422595401" u="1"/>
        <s v="CTN3292204205" u="1"/>
        <s v="CTN1699747509" u="1"/>
        <s v="CTN1989646410" u="1"/>
        <s v="CTN1688150101" u="1"/>
        <s v="CTN5755506201" u="1"/>
        <s v="TRS2950969601" u="1"/>
        <s v="TRS3059212001" u="1"/>
        <s v="CTN3229242901" u="1"/>
        <s v="TRS3286415001" u="1"/>
        <s v="CTN2001948002" u="1"/>
        <s v="CTN1688150201" u="1"/>
        <s v="TRS2950969701" u="1"/>
        <s v="CTN1989388501" u="1"/>
        <s v="TRS3059212101" u="1"/>
        <s v="CTN1977174801" u="1"/>
        <s v="TRS3286415101" u="1"/>
        <s v="CTN1970509801" u="1"/>
        <s v="TRS2950969801" u="1"/>
        <s v="CTN2993239701" u="1"/>
        <s v="TRS3059212201" u="1"/>
        <s v="CTN1719187801" u="1"/>
        <s v="CTN1977174901" u="1"/>
        <s v="CTN2013275203" u="1"/>
        <s v="TRS3286415201" u="1"/>
        <s v="CTN1972603207" u="1"/>
        <s v="CTN3308694301" u="1"/>
        <s v="TRS3104265001" u="1"/>
        <s v="CTN3106238801" u="1"/>
        <s v="CTN3138385101" u="1"/>
        <s v="TRS2950969901" u="1"/>
        <s v="CTN1969761301" u="1"/>
        <s v="TRS3059212301" u="1"/>
        <s v="CTN1690896701" u="1"/>
        <s v="CTN1730987601" u="1"/>
        <s v="CTN3065164001" u="1"/>
        <s v="CTN1974843009" u="1"/>
        <s v="TRS3104265101" u="1"/>
        <s v="CTN1995948407" u="1"/>
        <s v="CTN3294284501" u="1"/>
        <s v="TRS3059212401" u="1"/>
        <s v="CTN1999402203" u="1"/>
        <s v="CTN2007333602" u="1"/>
        <s v="CTN2013275403" u="1"/>
        <s v="TRS3104265201" u="1"/>
        <s v="CTN2007885701" u="1"/>
        <s v="CTN2003347906" u="1"/>
        <s v="CTN2007256110" u="1"/>
        <s v="CTN2006968201" u="1"/>
        <s v="CTN2009353601" u="1"/>
        <s v="TRS3104265301" u="1"/>
        <s v="CTN1990390405" u="1"/>
        <s v="CTN1714968702" u="1"/>
        <s v="CTN2001344107" u="1"/>
        <s v="CTN3065081901" u="1"/>
        <s v="TRS3104265401" u="1"/>
        <s v="CTN1690195201" u="1"/>
        <s v="CTN1967878204" u="1"/>
        <s v="CTN1977781420" u="1"/>
        <s v="CTN3062164501" u="1"/>
        <s v="TRS3068958601" u="1"/>
        <s v="CTN1706909511" u="1"/>
        <s v="CTN1942659701" u="1"/>
        <s v="CTN1973151603" u="1"/>
        <s v="CTN1718519002" u="1"/>
        <s v="CTN1970506402" u="1"/>
        <s v="TRS3104265501" u="1"/>
        <s v="CTN1690195301" u="1"/>
        <s v="CTN1995934803" u="1"/>
        <s v="CTN3062164601" u="1"/>
        <s v="TRS3068958701" u="1"/>
        <s v="CTN3077378201" u="1"/>
        <s v="CTN3137531317" u="1"/>
        <s v="CTN1701551213" u="1"/>
        <s v="CTN1705399402" u="1"/>
        <s v="TRS3104265601" u="1"/>
        <s v="CTN2000384405" u="1"/>
        <s v="CTN1691893202" u="1"/>
        <s v="TRS3068958801" u="1"/>
        <s v="CTN5699364605" u="1"/>
        <s v="CTN1970506602" u="1"/>
        <s v="TRS3104265701" u="1"/>
        <s v="CTN1989643411" u="1"/>
        <s v="TRS3068958901" u="1"/>
        <s v="CTN1989591201" u="1"/>
        <s v="CTN3305431401" u="1"/>
        <s v="CTN1718519302" u="1"/>
        <s v="CTN1970506702" u="1"/>
        <s v="CTN3056379501" u="1"/>
        <s v="TRS3104265801" u="1"/>
        <s v="CTN3308431301" u="1"/>
        <s v="CTN2945659101" u="1"/>
        <s v="CTN4820043801" u="1"/>
        <s v="CTN1987325605" u="1"/>
        <s v="CTN1989591301" u="1"/>
        <s v="CTN1968927001" u="1"/>
        <s v="CTN1972609101" u="1"/>
        <s v="CTN1998676808" u="1"/>
        <s v="CTN1988488001" u="1"/>
        <s v="TRS3104265901" u="1"/>
        <s v="CTN1979992001" u="1"/>
        <s v="CTN1999696807" u="1"/>
        <s v="CTN3082180001" u="1"/>
        <s v="CTN3314113401" u="1"/>
        <s v="CTN3072647101" u="1"/>
        <s v="CTN1713092708" u="1"/>
        <s v="CTN1964489301" u="1"/>
        <s v="CTN1970337102" u="1"/>
        <s v="CTN1710287701" u="1"/>
        <s v="CTN1691873603" u="1"/>
        <s v="CTN3305777901" u="1"/>
        <s v="CTN1713519802" u="1"/>
        <s v="CTN3005622001" u="1"/>
        <s v="CTN1718519602" u="1"/>
        <s v="CTN1978526601" u="1"/>
        <s v="CTN3308431601" u="1"/>
        <s v="CTN3082180201" u="1"/>
        <s v="CTN1702073901" u="1"/>
        <s v="CTN1981820203" u="1"/>
        <s v="CTN3289167905" u="1"/>
        <s v="CTN1958953303" u="1"/>
        <s v="CTN1989877904" u="1"/>
        <s v="CTN1699407803" u="1"/>
        <s v="CTN1709399902" u="1"/>
        <s v="CTN1713613408" u="1"/>
        <s v="CTN1989591701" u="1"/>
        <s v="CTN3151121901" u="1"/>
        <s v="CTN1956358101" u="1"/>
        <s v="CTN3304700201" u="1"/>
        <s v="CTN2007925204" u="1"/>
        <s v="CTN3314113801" u="1"/>
        <s v="CTN1969586806" u="1"/>
        <s v="CTN1718519902" u="1"/>
        <s v="CTN1698581405" u="1"/>
        <s v="CTN2945659701" u="1"/>
        <s v="CTN3229239601" u="1"/>
        <s v="CTN1996874111" u="1"/>
        <s v="CTN1686679001" u="1"/>
        <s v="CTN1984577010" u="1"/>
        <s v="CTN2007330903" u="1"/>
        <s v="CTN3229173201" u="1"/>
        <s v="CTN3106338701" u="1"/>
        <s v="CTN1698175902" u="1"/>
        <s v="CTN1973869502" u="1"/>
        <s v="CTN1705408801" u="1"/>
        <s v="CTN3075395301" u="1"/>
        <s v="CTN1973225109" u="1"/>
        <s v="CTN1960861701" u="1"/>
        <s v="CTN1964489901" u="1"/>
        <s v="CTN1999474131" u="1"/>
        <s v="CTN3232107701" u="1"/>
        <s v="CTN1714030110" u="1"/>
        <s v="CTN2007330917" u="1"/>
        <s v="CTN3301159301" u="1"/>
        <s v="CTN1698893902" u="1"/>
        <s v="CTN2014472708" u="1"/>
        <s v="TRS3059209001" u="1"/>
        <s v="CTN3222891701" u="1"/>
        <s v="CTN3304514901" u="1"/>
        <s v="CTN1973869802" u="1"/>
        <s v="CTN1988225101" u="1"/>
        <s v="TRS3059209101" u="1"/>
        <s v="CTN3047434901" u="1"/>
        <s v="CTN1987923102" u="1"/>
        <s v="TRS3059209201" u="1"/>
        <s v="CTN3151035201" u="1"/>
        <s v="CTN1708688901" u="1"/>
        <s v="CTN1996490205" u="1"/>
        <s v="TRS3059209301" u="1"/>
        <s v="CTN1977783403" u="1"/>
        <s v="CTN1940759801" u="1"/>
        <s v="CTN3006267401" u="1"/>
        <s v="CTN3758099001" u="1"/>
        <s v="CTN1987943301" u="1"/>
        <s v="TRS3059209401" u="1"/>
        <s v="CTN1689450705" u="1"/>
        <s v="CTN1995064803" u="1"/>
        <s v="TRS3059209501" u="1"/>
        <s v="CTN1960160501" u="1"/>
        <s v="CTN1964652403" u="1"/>
        <s v="CTN1718258608" u="1"/>
        <s v="CTN3061796901" u="1"/>
        <s v="TRS3059209601" u="1"/>
        <s v="CTN1961755002" u="1"/>
        <s v="CTN3081263901" u="1"/>
        <s v="CTN1714962704" u="1"/>
        <s v="CTN3044265801" u="1"/>
        <s v="CTN1960174705" u="1"/>
        <s v="CTN5661852801" u="1"/>
        <s v="TRS3059209701" u="1"/>
        <s v="CTN1997450607" u="1"/>
        <s v="CTN1698993102" u="1"/>
        <s v="CTN3048348101" u="1"/>
        <s v="CTN3167884701" u="1"/>
        <s v="TRS3059209801" u="1"/>
        <s v="TRS3566611101" u="1"/>
        <s v="CTN3012853501" u="1"/>
        <s v="CTN1996450807" u="1"/>
        <s v="TRS3059209901" u="1"/>
        <s v="CTN1961755302" u="1"/>
        <s v="CTN1717610609" u="1"/>
        <s v="CTN3229442601" u="1"/>
        <s v="CTN1967223002" u="1"/>
        <s v="CTN1967243001" u="1"/>
        <s v="CTN1996450907" u="1"/>
        <s v="CTN3292204201" u="1"/>
        <s v="CTN1699747505" u="1"/>
        <s v="CTN2006619501" u="1"/>
        <s v="CTN3522617405" u="1"/>
        <s v="CTN3066095301" u="1"/>
        <s v="CTN1967223016" u="1"/>
        <s v="CTN1977929104" u="1"/>
        <s v="CTN1688164301" u="1"/>
        <s v="CTN1987691901" u="1"/>
        <s v="CTN1979262208" u="1"/>
        <s v="CTN1980508905" u="1"/>
        <s v="CTN3084346801" u="1"/>
        <s v="CTN1967961201" u="1"/>
        <s v="CTN3123437801" u="1"/>
        <s v="CTN1989236306" u="1"/>
        <s v="CTN5782667101" u="1"/>
        <s v="CTN1974843005" u="1"/>
        <s v="CTN3226991201" u="1"/>
        <s v="CTN1995948403" u="1"/>
        <s v="CTN1688164501" u="1"/>
        <s v="CTN3160183801" u="1"/>
        <s v="CTN1967961301" u="1"/>
        <s v="CTN5767399701" u="1"/>
        <s v="CTN3051216701" u="1"/>
        <s v="CTN1967243501" u="1"/>
        <s v="CTN3180451101" u="1"/>
        <s v="CTN1677994902" u="1"/>
        <s v="CTN1688164601" u="1"/>
        <s v="CTN2003347902" u="1"/>
        <s v="CTN1963203803" u="1"/>
        <s v="CTN1998676204" u="1"/>
        <s v="CTN3066616201" u="1"/>
        <s v="CTN3308428801" u="1"/>
        <s v="CTN1977929504" u="1"/>
        <s v="CTN3044179301" u="1"/>
        <s v="CTN2014401302" u="1"/>
        <s v="CTN1969775601" u="1"/>
        <s v="CTN3221608501" u="1"/>
        <s v="CTN1997456501" u="1"/>
        <s v="CTN3011218901" u="1"/>
        <s v="CTN3081363301" u="1"/>
        <s v="CTN5870847803" u="1"/>
        <s v="CTN2001344103" u="1"/>
        <s v="CTN1988508905" u="1"/>
        <s v="CTN1980505306" u="1"/>
        <s v="CTN2016610914" u="1"/>
        <s v="CTN3045720801" u="1"/>
        <s v="CTN3348975001" u="1"/>
        <s v="CTN3308614801" u="1"/>
        <s v="CTN1969775801" u="1"/>
        <s v="CTN2008075703" u="1"/>
        <s v="CTN1997456701" u="1"/>
        <s v="CTN3137531313" u="1"/>
        <s v="CTN2001344117" u="1"/>
        <s v="CTN1968506106" u="1"/>
        <s v="TRS3096241001" u="1"/>
        <s v="CTN2000384401" u="1"/>
        <s v="CTN1967901804" u="1"/>
        <s v="CTN3305631101" u="1"/>
        <s v="CTN1984150807" u="1"/>
        <s v="CTN1705399412" u="1"/>
        <s v="CTN1994719306" u="1"/>
        <s v="CTN3084446001" u="1"/>
        <s v="CTN3353760801" u="1"/>
        <s v="CTN1987325601" u="1"/>
        <s v="CTN1977185802" u="1"/>
        <s v="CTN1995110901" u="1"/>
        <s v="CTN1998676804" u="1"/>
        <s v="CTN3290810908" u="1"/>
        <s v="TRS3226366701" u="1"/>
        <s v="CTN1999696803" u="1"/>
        <s v="CTN1969586402" u="1"/>
        <s v="CTN3030420401" u="1"/>
        <s v="CTN3758105301" u="1"/>
        <s v="CTN1969772302" u="1"/>
        <s v="CTN3229356601" u="1"/>
        <s v="CTN1697115501" u="1"/>
        <s v="CTN3348975601" u="1"/>
        <s v="CTN1702765703" u="1"/>
        <s v="CTN3066447201" u="1"/>
        <s v="CTN1694355503" u="1"/>
        <s v="CTN1988511601" u="1"/>
        <s v="CTN3114071201" u="1"/>
        <s v="CTN1695472907" u="1"/>
        <s v="CTN1699395301" u="1"/>
        <s v="CTN2012778506" u="1"/>
        <s v="CTN3082446501" u="1"/>
        <s v="CTN1988511701" u="1"/>
        <s v="CTN4942227401" u="1"/>
        <s v="CTN3425895001" u="1"/>
        <s v="CTN1969772502" u="1"/>
        <s v="CTN3221811201" u="1"/>
        <s v="CTN3071501001" u="1"/>
        <s v="CTN1697115701" u="1"/>
        <s v="CTN1988511801" u="1"/>
        <s v="CTN3298118101" u="1"/>
        <s v="CTN3080194501" u="1"/>
        <s v="CTN3425895101" u="1"/>
        <s v="CTN1969586802" u="1"/>
        <s v="CTN3289167915" u="1"/>
        <s v="CTN1697115801" u="1"/>
        <s v="CTN1714925701" u="1"/>
        <s v="CTN2012784701" u="1"/>
        <s v="CTN3082446701" u="1"/>
        <s v="CTN3083978701" u="1"/>
        <s v="CTN1968480504" u="1"/>
        <s v="CTN2002510904" u="1"/>
        <s v="CTN1697115901" u="1"/>
        <s v="CTN3327275201" u="1"/>
        <s v="CTN1994716007" u="1"/>
        <s v="CTN1996911701" u="1"/>
        <s v="CTN3080446901" u="1"/>
        <s v="CTN1987668502" u="1"/>
        <s v="CTN3125723401" u="1"/>
        <s v="CTN5665451105" u="1"/>
        <s v="CTN3131153201" u="1"/>
        <s v="CTN1690186403" u="1"/>
        <s v="CTN3347992201" u="1"/>
        <s v="CTN1995098302" u="1"/>
        <s v="CTN2007330913" u="1"/>
        <s v="CTN1967211009" u="1"/>
        <s v="CTN3100807201" u="1"/>
        <s v="CTN1973869512" u="1"/>
        <s v="TRS2946271401" u="1"/>
        <s v="CTN2014472704" u="1"/>
        <s v="CTN1987316507" u="1"/>
        <s v="CTN3041382701" u="1"/>
        <s v="CTN1968855502" u="1"/>
        <s v="CTN3077063201" u="1"/>
        <s v="TRS2946271501" u="1"/>
        <s v="CTN1709098306" u="1"/>
        <s v="CTN3157152201" u="1"/>
        <s v="CTN2012781202" u="1"/>
        <s v="CTN2014472718" u="1"/>
        <s v="TRS2946271601" u="1"/>
        <s v="CTN1987668902" u="1"/>
        <s v="CTN3425895701" u="1"/>
        <s v="CTN3151235001" u="1"/>
        <s v="CTN1986685002" u="1"/>
        <s v="TRS2946271701" u="1"/>
        <s v="TRS3219950102" u="1"/>
        <s v="CTN3051782601" u="1"/>
        <s v="CTN1681095401" u="1"/>
        <s v="CTN1687095101" u="1"/>
        <s v="CTN1996873909" u="1"/>
        <s v="TRS2946271801" u="1"/>
        <s v="CTN3347609501" u="1"/>
        <s v="CTN1983479503" u="1"/>
        <s v="CTN1689450701" u="1"/>
        <s v="CTN3353039301" u="1"/>
        <s v="CTN3096348904" u="1"/>
        <s v="TRS2946271901" u="1"/>
        <s v="TRS3140114001" u="1"/>
        <s v="CTN3105807501" u="1"/>
        <s v="CTN3347609601" u="1"/>
        <s v="CTN3059316801" u="1"/>
        <s v="TRS3302638001" u="1"/>
        <s v="CTN1701470706" u="1"/>
        <s v="TRS3140114101" u="1"/>
        <s v="CTN1974108401" u="1"/>
        <s v="CTN1707811101" u="1"/>
        <s v="CTN1979611209" u="1"/>
        <s v="CTN1995095003" u="1"/>
        <s v="CTN3096348918" u="1"/>
        <s v="CTN1980508301" u="1"/>
        <s v="TRS3140114201" u="1"/>
        <s v="CTN1960174701" u="1"/>
        <s v="CTN3058782701" u="1"/>
        <s v="CTN3180448401" u="1"/>
        <s v="TRS3140114301" u="1"/>
        <s v="CTN3226390201" u="1"/>
        <s v="CTN1967872302" u="1"/>
        <s v="CTN1989891201" u="1"/>
        <s v="CTN1963237102" u="1"/>
        <s v="CTN1687095601" u="1"/>
        <s v="CTN1714713104" u="1"/>
        <s v="CTN1974388501" u="1"/>
        <s v="TRS3104302001" u="1"/>
        <s v="TRS3140114401" u="1"/>
        <s v="CTN3090331601" u="1"/>
        <s v="CTN1972760301" u="1"/>
        <s v="CTN1974388601" u="1"/>
        <s v="TRS3104302101" u="1"/>
        <s v="TRS3140114501" u="1"/>
        <s v="CTN5767236901" u="1"/>
        <s v="CTN1989393404" u="1"/>
        <s v="CTN1687095801" u="1"/>
        <s v="CTN3522617401" u="1"/>
        <s v="CTN1996387601" u="1"/>
        <s v="TRS3104302201" u="1"/>
        <s v="TRS3140114601" u="1"/>
        <s v="TRS3327823101" u="1"/>
        <s v="CTN1686095901" u="1"/>
        <s v="CTN1989405902" u="1"/>
        <s v="CTN2003567301" u="1"/>
        <s v="CTN1695401601" u="1"/>
        <s v="CTN1967223012" u="1"/>
        <s v="CTN3068733101" u="1"/>
        <s v="CTN3137170201" u="1"/>
        <s v="TRS3104302301" u="1"/>
        <s v="TRS3140114701" u="1"/>
        <s v="CTN1994158004" u="1"/>
        <s v="CTN3352411701" u="1"/>
        <s v="TRS3327823201" u="1"/>
        <s v="CTN1664073103" u="1"/>
        <s v="CTN1989625805" u="1"/>
        <s v="CTN3317693301" u="1"/>
        <s v="CTN3347543901" u="1"/>
        <s v="CTN1980508901" u="1"/>
        <s v="CTN1972760601" u="1"/>
        <s v="TRS3104302401" u="1"/>
        <s v="TRS3327823301" u="1"/>
        <s v="CTN1978173909" u="1"/>
        <s v="CTN1702081803" u="1"/>
        <s v="CTN1989236302" u="1"/>
        <s v="CTN3305562101" u="1"/>
        <s v="TRS3302638801" u="1"/>
        <s v="CTN1937098603" u="1"/>
        <s v="TRS2752761002" u="1"/>
        <s v="TRS3104302501" u="1"/>
        <s v="TRS3327823401" u="1"/>
        <s v="CTN1961749803" u="1"/>
        <s v="CTN3352242101" u="1"/>
        <s v="CTN1692930102" u="1"/>
        <s v="CTN1728864903" u="1"/>
        <s v="CTN3512952001" u="1"/>
        <s v="TRS3142394701" u="1"/>
        <s v="TRS3104302601" u="1"/>
        <s v="TRS3327823501" u="1"/>
        <s v="CTN1977897003" u="1"/>
        <s v="CTN1967883007" u="1"/>
        <s v="CTN1988508801" u="1"/>
        <s v="CTN3068733501" u="1"/>
        <s v="TRS3142394801" u="1"/>
        <s v="CTN3098600101" u="1"/>
        <s v="CTN3154318601" u="1"/>
        <s v="TRS3104302701" u="1"/>
        <s v="TRS3327823601" u="1"/>
        <s v="CTN1973125501" u="1"/>
        <s v="CTN1988508901" u="1"/>
        <s v="TRS3142394901" u="1"/>
        <s v="CTN1668751205" u="1"/>
        <s v="CTN1980505302" u="1"/>
        <s v="CTN1990378507" u="1"/>
        <s v="CTN1994378307" u="1"/>
        <s v="CTN3098600201" u="1"/>
        <s v="TRS3104302801" u="1"/>
        <s v="TRS3327823701" u="1"/>
        <s v="CTN1970311501" u="1"/>
        <s v="CTN1705856309" u="1"/>
        <s v="CTN1997842201" u="1"/>
        <s v="CTN2000201802" u="1"/>
        <s v="CTN3098600301" u="1"/>
        <s v="CTN3222742001" u="1"/>
        <s v="TRS3104302901" u="1"/>
        <s v="TRS3327823801" u="1"/>
        <s v="CTN1970311601" u="1"/>
        <s v="CTN1977179503" u="1"/>
        <s v="CTN2001344113" u="1"/>
        <s v="CTN2007221601" u="1"/>
        <s v="CTN1968506102" u="1"/>
        <s v="CTN3298404601" u="1"/>
        <s v="CTN1967878210" u="1"/>
        <s v="CTN3100572901" u="1"/>
        <s v="TRS3327823901" u="1"/>
        <s v="TRS3041389701" u="1"/>
        <s v="CTN3231873601" u="1"/>
        <s v="CTN2015518001" u="1"/>
        <s v="TRS3217166601" u="1"/>
        <s v="CTN3098600501" u="1"/>
        <s v="CTN5700525401" u="1"/>
        <s v="TRS3041389801" u="1"/>
        <s v="CTN1984150803" u="1"/>
        <s v="CTN3222742301" u="1"/>
        <s v="CTN1980493304" u="1"/>
        <s v="CTN1682381301" u="1"/>
        <s v="TRS3041389901" u="1"/>
        <s v="CTN3137336001" u="1"/>
        <s v="CTN3290810904" u="1"/>
        <s v="CTN3172148501" u="1"/>
        <s v="CTN3158252601" u="1"/>
        <s v="TRS3291328001" u="1"/>
        <s v="CTN3135971601" u="1"/>
        <s v="TRS3277246301" u="1"/>
        <s v="CTN3229473901" u="1"/>
        <s v="CTN1970511905" u="1"/>
        <s v="CTN3172148601" u="1"/>
        <s v="TRS3291328101" u="1"/>
        <s v="TRS3277246401" u="1"/>
        <s v="CTN3167652401" u="1"/>
        <s v="CTN1697109502" u="1"/>
        <s v="CTN1983213604" u="1"/>
        <s v="TRS3291328201" u="1"/>
        <s v="TRS3277246501" u="1"/>
        <s v="CTN1689447701" u="1"/>
        <s v="CTN1983525901" u="1"/>
        <s v="CTN1967234503" u="1"/>
        <s v="CTN2010692203" u="1"/>
        <s v="CTN1710286909" u="1"/>
        <s v="TRS3291328301" u="1"/>
        <s v="CTN2007836701" u="1"/>
        <s v="TRS3277246601" u="1"/>
        <s v="CTN3139522101" u="1"/>
        <s v="CTN1698984904" u="1"/>
        <s v="CTN1973142401" u="1"/>
        <s v="TRS3025659401" u="1"/>
        <s v="TRS3291328401" u="1"/>
        <s v="CTN3152083501" u="1"/>
        <s v="TRS3277246701" u="1"/>
        <s v="CTN3289167911" u="1"/>
        <s v="CTN3099059701" u="1"/>
        <s v="CTN1688155803" u="1"/>
        <s v="TRS3291328501" u="1"/>
        <s v="TRS3277246801" u="1"/>
        <s v="CTN3229490401" u="1"/>
        <s v="CTN1974820403" u="1"/>
        <s v="CTN1968494604" u="1"/>
        <s v="TRS3025659601" u="1"/>
        <s v="TRS3291328601" u="1"/>
        <s v="CTN1702078303" u="1"/>
        <s v="TRS3277246901" u="1"/>
        <s v="CTN3127654901" u="1"/>
        <s v="CTN3099059901" u="1"/>
        <s v="CTN5665451101" u="1"/>
        <s v="CTN1713521306" u="1"/>
        <s v="CTN1973225101" u="1"/>
        <s v="CTN1972562408" u="1"/>
        <s v="CTN3096431701" u="1"/>
        <s v="TRS3025659701" u="1"/>
        <s v="TRS3291328701" u="1"/>
        <s v="CTN3325830901" u="1"/>
        <s v="CTN3105672101" u="1"/>
        <s v="CTN3075077201" u="1"/>
        <s v="CTN3068833301" u="1"/>
        <s v="CTN3068581101" u="1"/>
        <s v="TRS3075991001" u="1"/>
        <s v="TRS3291328801" u="1"/>
        <s v="CTN1969597203" u="1"/>
        <s v="CTN1987316503" u="1"/>
        <s v="CTN2007321201" u="1"/>
        <s v="CTN3012518501" u="1"/>
        <s v="TRS3025659901" u="1"/>
        <s v="TRS3075991101" u="1"/>
        <s v="TRS3291328901" u="1"/>
        <s v="TRS3161044201" u="1"/>
        <s v="CTN3075077401" u="1"/>
        <s v="CTN1709098302" u="1"/>
        <s v="CTN2009321201" u="1"/>
        <s v="CTN1974840802" u="1"/>
        <s v="CTN1702742501" u="1"/>
        <s v="CTN2010692903" u="1"/>
        <s v="CTN2014472714" u="1"/>
        <s v="CTN3308662201" u="1"/>
        <s v="TRS3075991201" u="1"/>
        <s v="CTN1967889701" u="1"/>
        <s v="TRS3421842001" u="1"/>
        <s v="CTN1995942201" u="1"/>
        <s v="CTN1996936206" u="1"/>
        <s v="CTN3068647801" u="1"/>
        <s v="CTN1988502503" u="1"/>
        <s v="TRS3075991301" u="1"/>
        <s v="CTN1967869802" u="1"/>
        <s v="TRS3421842101" u="1"/>
        <s v="CTN1997438209" u="1"/>
        <s v="CTN2015735205" u="1"/>
        <s v="CTN3308130301" u="1"/>
        <s v="CTN2995590901" u="1"/>
        <s v="CTN1996873905" u="1"/>
        <s v="TRS3075991401" u="1"/>
        <s v="TRS3421842201" u="1"/>
        <s v="TRS3055357001" u="1"/>
        <s v="CTN5676917701" u="1"/>
        <s v="CTN1996498406" u="1"/>
        <s v="TRS3075991501" u="1"/>
        <s v="TRS3421842301" u="1"/>
        <s v="CTN3219788401" u="1"/>
        <s v="TRS3055357101" u="1"/>
        <s v="CTN1699752008" u="1"/>
        <s v="CTN3068916301" u="1"/>
        <s v="CTN1701470702" u="1"/>
        <s v="CTN2009321601" u="1"/>
        <s v="CTN1988516807" u="1"/>
        <s v="CTN2002498401" u="1"/>
        <s v="TRS3075991601" u="1"/>
        <s v="CTN1980353402" u="1"/>
        <s v="CTN5700187401" u="1"/>
        <s v="TRS3421842401" u="1"/>
        <s v="CTN1971748007" u="1"/>
        <s v="CTN3297764602" u="1"/>
        <s v="TRS3055357201" u="1"/>
        <s v="CTN1979611205" u="1"/>
        <s v="CTN3373424101" u="1"/>
        <s v="CTN3321492201" u="1"/>
        <s v="CTN1996922602" u="1"/>
        <s v="CTN2012981502" u="1"/>
        <s v="CTN3100755501" u="1"/>
        <s v="TRS3075991701" u="1"/>
        <s v="TRS3161845001" u="1"/>
        <s v="CTN1977917607" u="1"/>
        <s v="TRS3421842501" u="1"/>
        <s v="TRS3055357301" u="1"/>
        <s v="TRS3281131701" u="1"/>
        <s v="TRS3421842601" u="1"/>
        <s v="TRS3055357401" u="1"/>
        <s v="CTN1977871306" u="1"/>
        <s v="CTN2013618401" u="1"/>
        <s v="CTN3341388001" u="1"/>
        <s v="CTN1697123003" u="1"/>
        <s v="CTN3131184201" u="1"/>
        <s v="CTN3068478601" u="1"/>
        <s v="TRS3075991901" u="1"/>
        <s v="CTN1968520103" u="1"/>
        <s v="TRS3421842701" u="1"/>
        <s v="CTN3219788801" u="1"/>
        <s v="TRS3055357501" u="1"/>
        <s v="CTN3167566601" u="1"/>
        <s v="CTN3758405201" u="1"/>
        <s v="TRS3421842801" u="1"/>
        <s v="TRS3055357601" u="1"/>
        <s v="CTN1731972201" u="1"/>
        <s v="CTN1943458101" u="1"/>
        <s v="CTN1982573605" u="1"/>
        <s v="CTN1996450813" u="1"/>
        <s v="TRS3421842901" u="1"/>
        <s v="TRS3055357701" u="1"/>
        <s v="CTN2011772204" u="1"/>
        <s v="TRS3569024801" u="1"/>
        <s v="CTN3321492701" u="1"/>
        <s v="CTN3074429101" u="1"/>
        <s v="CTN1996450913" u="1"/>
        <s v="CTN1721649206" u="1"/>
        <s v="CTN1989625801" u="1"/>
        <s v="CTN1973139101" u="1"/>
        <s v="CTN1989167802" u="1"/>
        <s v="TRS3102782101" u="1"/>
        <s v="CTN1960594904" u="1"/>
        <s v="CTN1982456401" u="1"/>
        <s v="CTN1712235602" u="1"/>
        <s v="CTN1711507901" u="1"/>
        <s v="CTN1967223022" u="1"/>
        <s v="CTN3071094801" u="1"/>
        <s v="CTN3304828401" u="1"/>
        <s v="CTN3098531501" u="1"/>
        <s v="CTN1711524001" u="1"/>
        <s v="TRS2950971001" u="1"/>
        <s v="TRS3102782301" u="1"/>
        <s v="CTN3106586201" u="1"/>
        <s v="CTN3110454101" u="1"/>
        <s v="TRS3057812001" u="1"/>
        <s v="CTN3153984001" u="1"/>
        <s v="CTN1967883003" u="1"/>
        <s v="CTN1977774601" u="1"/>
        <s v="CTN5737772401" u="1"/>
        <s v="CTN5883168701" u="1"/>
        <s v="CTN1973139401" u="1"/>
        <s v="TRS2950971101" u="1"/>
        <s v="CTN1974843011" u="1"/>
        <s v="TRS3102782401" u="1"/>
        <s v="CTN1968520803" u="1"/>
        <s v="CTN1970511201" u="1"/>
        <s v="CTN1989908405" u="1"/>
        <s v="CTN3308493801" u="1"/>
        <s v="TRS2950971201" u="1"/>
        <s v="TRS3102782501" u="1"/>
        <s v="CTN1668751201" u="1"/>
        <s v="CTN3214010001" u="1"/>
        <s v="TRS2950971301" u="1"/>
        <s v="TRS3102782601" u="1"/>
        <s v="CTN3170348001" u="1"/>
        <s v="TRS3146145001" u="1"/>
        <s v="CTN3072363401" u="1"/>
        <s v="CTN3223673601" u="1"/>
        <s v="TRS2950971401" u="1"/>
        <s v="CTN3106586601" u="1"/>
        <s v="CTN1722357608" u="1"/>
        <s v="CTN1970511501" u="1"/>
        <s v="CTN5783715006" u="1"/>
        <s v="CTN1977771002" u="1"/>
        <s v="TRS2950971501" u="1"/>
        <s v="CTN3154984401" u="1"/>
        <s v="CTN1979994804" u="1"/>
        <s v="TRS2950971601" u="1"/>
        <s v="CTN1699160102" u="1"/>
        <s v="TRS3146145301" u="1"/>
        <s v="CTN1714621906" u="1"/>
        <s v="CTN1974139901" u="1"/>
        <s v="TRS2950971701" u="1"/>
        <s v="CTN1687086903" u="1"/>
        <s v="CTN1690964901" u="1"/>
        <s v="CTN1973156001" u="1"/>
        <s v="TRS3146145401" u="1"/>
        <s v="CTN1970342001" u="1"/>
        <s v="CTN2018197501" u="1"/>
        <s v="CTN5777853501" u="1"/>
        <s v="CTN3304230801" u="1"/>
        <s v="CTN1983227504" u="1"/>
        <s v="TRS2950971801" u="1"/>
        <s v="TRS3146145501" u="1"/>
        <s v="CTN3508397101" u="1"/>
        <s v="CTN3130284101" u="1"/>
        <s v="TRS3225680102" u="1"/>
        <s v="CTN1998676810" u="1"/>
        <s v="TRS3146145601" u="1"/>
        <s v="CTN3422494401" u="1"/>
        <s v="CTN3050195301" u="1"/>
        <s v="TRS3015811002" u="1"/>
        <s v="CTN2001950302" u="1"/>
        <s v="CTN1677078201" u="1"/>
        <s v="CTN3229410101" u="1"/>
        <s v="CTN3315089201" u="1"/>
        <s v="CTN1714944508" u="1"/>
        <s v="CTN3758319301" u="1"/>
        <s v="TRS3146145701" u="1"/>
        <s v="CTN3223690301" u="1"/>
        <s v="CTN3314993001" u="1"/>
        <s v="CTN3307845501" u="1"/>
        <s v="CTN1987925605" u="1"/>
        <s v="CTN1715847303" u="1"/>
        <s v="CTN1997873201" u="1"/>
        <s v="CTN2945289101" u="1"/>
        <s v="CTN1655079601" u="1"/>
        <s v="CTN1702736102" u="1"/>
        <s v="CTN2004369104" u="1"/>
        <s v="CTN3047848201" u="1"/>
        <s v="CTN1710887701" u="1"/>
        <s v="CTN3088594001" u="1"/>
        <s v="CTN1972562404" u="1"/>
        <s v="CTN1997873401" u="1"/>
        <s v="CTN3161683301" u="1"/>
        <s v="CTN1721652902" u="1"/>
        <s v="CTN1692935608" u="1"/>
        <s v="CTN1967211001" u="1"/>
        <s v="CTN3314993401" u="1"/>
        <s v="CTN1967912901" u="1"/>
        <s v="CTN1713521316" u="1"/>
        <s v="CTN1995115803" u="1"/>
        <s v="CTN1983470202" u="1"/>
        <s v="CTN3052996201" u="1"/>
        <s v="CTN2000189713" u="1"/>
        <s v="CTN1697775802" u="1"/>
        <s v="CTN1996936202" u="1"/>
        <s v="CTN1996873801" u="1"/>
        <s v="CTN1996873901" u="1"/>
        <s v="CTN3077100901" u="1"/>
        <s v="CTN2005023404" u="1"/>
        <s v="CTN1982367102" u="1"/>
        <s v="CTN1968471202" u="1"/>
        <s v="CTN2996155301" u="1"/>
        <s v="CTN3059996101" u="1"/>
        <s v="TRS2950968001" u="1"/>
        <s v="CTN1973230708" u="1"/>
        <s v="CTN3065063701" u="1"/>
        <s v="CTN3184765101" u="1"/>
        <s v="CTN1699752004" u="1"/>
        <s v="TRS2950968101" u="1"/>
        <s v="CTN1977173201" u="1"/>
        <s v="CTN1988516803" u="1"/>
        <s v="CTN3308676601" u="1"/>
        <s v="CTN1703716903" u="1"/>
        <s v="TRS2950968201" u="1"/>
        <s v="CTN1997404502" u="1"/>
        <s v="CTN3096348910" u="1"/>
        <s v="CTN1691889006" u="1"/>
        <s v="CTN1977917603" u="1"/>
        <s v="TRS2950968301" u="1"/>
        <s v="CTN1721772101" u="1"/>
        <s v="CTN3105423101" u="1"/>
        <s v="CTN3229241601" u="1"/>
        <s v="CTN1718258610" u="1"/>
        <s v="CTN1708690401" u="1"/>
        <s v="CTN1964451803" u="1"/>
        <s v="CTN3089863101" u="1"/>
        <s v="CTN1977871302" u="1"/>
        <s v="CTN3293283001" u="1"/>
        <s v="CTN1975153602" u="1"/>
        <s v="CTN3229241701" u="1"/>
        <s v="TRS3100516001" u="1"/>
        <s v="CTN3232538301" u="1"/>
        <s v="CTN1981825701" u="1"/>
        <s v="CTN2008077806" u="1"/>
        <s v="CTN5787635401" u="1"/>
        <s v="CTN3107423201" u="1"/>
        <s v="TRS3100516101" u="1"/>
        <s v="CTN1708690601" u="1"/>
        <s v="CTN3061864701" u="1"/>
        <s v="CTN5883537801" u="1"/>
        <s v="CTN1967554302" u="1"/>
        <s v="TRS3059211001" u="1"/>
        <s v="CTN1690895401" u="1"/>
        <s v="TRS3100516201" u="1"/>
        <s v="CTN1709241001" u="1"/>
        <s v="CTN1982573601" u="1"/>
        <s v="CTN1987327604" u="1"/>
        <s v="TRS3059211101" u="1"/>
        <s v="CTN1966994108" u="1"/>
        <s v="TRS3100516301" u="1"/>
        <s v="CTN1970350007" u="1"/>
        <s v="CTN1715844804" u="1"/>
        <s v="CTN1721649202" u="1"/>
        <s v="TRS2950968801" u="1"/>
        <s v="CTN1689681301" u="1"/>
        <s v="TRS3059211201" u="1"/>
        <s v="CTN1688289802" u="1"/>
        <s v="CTN1970339101" u="1"/>
        <s v="CTN3062415301" u="1"/>
        <s v="CTN1694303404" u="1"/>
        <s v="CTN1978173901" u="1"/>
        <s v="CTN2004312603" u="1"/>
        <s v="TRS2950968901" u="1"/>
        <s v="TRS3068957201" u="1"/>
        <s v="CTN1969760301" u="1"/>
        <s v="TRS3059211301" u="1"/>
        <s v="CTN3115199501" u="1"/>
        <s v="CTN3065163001" u="1"/>
        <s v="CTN3096628001" u="1"/>
        <s v="CTN1698177501" u="1"/>
        <s v="TRS3068957301" u="1"/>
        <s v="TRS3059211401" u="1"/>
        <s v="CTN1713532907" u="1"/>
        <s v="CTN3169234801" u="1"/>
        <s v="CTN3228939201" u="1"/>
        <s v="CTN3219110901" u="1"/>
        <s v="CTN1979974301" u="1"/>
        <s v="TRS3068957401" u="1"/>
        <s v="CTN1689681601" u="1"/>
        <s v="CTN1969760501" u="1"/>
        <s v="TRS3059211501" u="1"/>
        <s v="CTN1989908401" u="1"/>
        <s v="CTN1969760601" u="1"/>
        <s v="TRS3059211601" u="1"/>
        <s v="CTN1960585306" u="1"/>
        <s v="CTN2994424901" u="1"/>
        <s v="CTN3226790701" u="1"/>
        <s v="CTN3304693901" u="1"/>
        <s v="CTN1718269701" u="1"/>
        <s v="CTN2006435301" u="1"/>
        <s v="CTN3182250401" u="1"/>
        <s v="CTN1705856301" u="1"/>
        <s v="CTN3287810104" u="1"/>
        <s v="CTN5793334201" u="1"/>
        <s v="TRS3059211701" u="1"/>
        <s v="CTN1989384102" u="1"/>
        <s v="TRS3324599701" u="1"/>
        <s v="CTN1702987909" u="1"/>
        <s v="CTN1973233003" u="1"/>
        <s v="CTN2009352801" u="1"/>
        <s v="CTN1698177901" u="1"/>
        <s v="TRS3059211801" u="1"/>
        <s v="CTN1983138705" u="1"/>
        <s v="CTN1968843301" u="1"/>
        <s v="CTN1722357604" u="1"/>
        <s v="CTN5787904601" u="1"/>
        <s v="CTN1981816707" u="1"/>
        <s v="CTN5783715002" u="1"/>
        <s v="CTN2005675403" u="1"/>
        <s v="TRS3059211901" u="1"/>
        <s v="TRS3324599901" u="1"/>
        <s v="CTN1709095913" u="1"/>
        <s v="CTN1968843401" u="1"/>
        <s v="CTN3305962401" u="1"/>
        <s v="CTN3347588701" u="1"/>
        <s v="CTN2015397301" u="1"/>
        <s v="TRS3421172001" u="1"/>
        <s v="CTN1970339901" u="1"/>
        <s v="TRS3104264801" u="1"/>
        <s v="TRS3160092201" u="1"/>
        <s v="CTN1718266102" u="1"/>
        <s v="CTN3056032301" u="1"/>
        <s v="CTN1999401717" u="1"/>
        <s v="TRS3421172101" u="1"/>
        <s v="CTN1973233403" u="1"/>
        <s v="TRS3104264901" u="1"/>
        <s v="CTN3106254701" u="1"/>
        <s v="CTN1691872503" u="1"/>
        <s v="CTN2993507901" u="1"/>
        <s v="CTN3347588901" u="1"/>
        <s v="CTN2009518101" u="1"/>
        <s v="TRS3421172201" u="1"/>
        <s v="CTN1973233503" u="1"/>
        <s v="CTN3096628901" u="1"/>
        <s v="CTN3321074201" u="1"/>
        <s v="CTN3422305907" u="1"/>
        <s v="CTN2007927903" u="1"/>
        <s v="CTN3306244801" u="1"/>
        <s v="TRS3421172301" u="1"/>
        <s v="TRS3080086001" u="1"/>
        <s v="CTN2006446006" u="1"/>
        <s v="CTN3070300101" u="1"/>
        <s v="CTN2001944303" u="1"/>
        <s v="CTN1699394305" u="1"/>
        <s v="CTN2760919901" u="1"/>
        <s v="TRS3421172401" u="1"/>
        <s v="CTN1983135306" u="1"/>
        <s v="CTN1714944504" u="1"/>
        <s v="CTN1710286901" u="1"/>
        <s v="CTN1984381103" u="1"/>
        <s v="CTN1987925401" u="1"/>
        <s v="CTN3305962901" u="1"/>
        <s v="CTN1707813004" u="1"/>
        <s v="CTN1989407305" u="1"/>
        <s v="TRS3421172501" u="1"/>
        <s v="CTN3046779601" u="1"/>
        <s v="CTN3305430901" u="1"/>
        <s v="CTN1984381203" u="1"/>
        <s v="CTN1987667306" u="1"/>
        <s v="AFCTN3229442401" u="1"/>
        <s v="CTN1989590801" u="1"/>
        <s v="CTN3101523601" u="1"/>
        <s v="TRS3421172601" u="1"/>
        <s v="CTN1983135506" u="1"/>
        <s v="CTN2007266401" u="1"/>
        <s v="CTN5696077301" u="1"/>
        <s v="CTN1987925601" u="1"/>
        <s v="CTN1962142601" u="1"/>
        <s v="CTN1995083102" u="1"/>
        <s v="CTN3004183501" u="1"/>
        <s v="CTN1698995201" u="1"/>
        <s v="CTN2003057003" u="1"/>
        <s v="CTN3422600701" u="1"/>
        <s v="CTN3127868801" u="1"/>
        <s v="CTN1692935604" u="1"/>
        <s v="CTN1698995301" u="1"/>
        <s v="CTN1996492904" u="1"/>
        <s v="CTN1705687801" u="1"/>
        <s v="CTN1698995401" u="1"/>
        <s v="TRS3564407601" u="1"/>
        <s v="CTN1684864201" u="1"/>
        <s v="TRS3059208101" u="1"/>
        <s v="CTN1989407905" u="1"/>
        <s v="CTN1698995501" u="1"/>
        <s v="CTN1967211011" u="1"/>
        <s v="CTN2008077102" u="1"/>
        <s v="TRS3059208201" u="1"/>
        <s v="CTN1698995601" u="1"/>
        <s v="CTN3100606701" u="1"/>
        <s v="CTN1987922202" u="1"/>
        <s v="CTN2995990501" u="1"/>
        <s v="TRS3059208301" u="1"/>
        <s v="CTN1997438201" u="1"/>
        <s v="CTN1698995701" u="1"/>
        <s v="CTN1967205402" u="1"/>
        <s v="CTN1716529707" u="1"/>
        <s v="CTN2014472720" u="1"/>
        <s v="CTN3758004001" u="1"/>
        <s v="TRS3059208401" u="1"/>
        <s v="CTN3229610901" u="1"/>
        <s v="CTN1997438215" u="1"/>
        <s v="CTN3061795801" u="1"/>
        <s v="TRS3059208501" u="1"/>
        <s v="AFCTN3221628001" u="1"/>
        <s v="CTN1677089302" u="1"/>
        <s v="CTN1977187201" u="1"/>
        <s v="CTN1996873911" u="1"/>
        <s v="TRS3036861101" u="1"/>
        <s v="CTN5662665801" u="1"/>
        <s v="CTN1986690301" u="1"/>
        <s v="CTN2008721301" u="1"/>
        <s v="TRS3059208601" u="1"/>
        <s v="CTN1977187301" u="1"/>
        <s v="CTN1979264607" u="1"/>
        <s v="CTN3100969301" u="1"/>
        <s v="CTN1972593204" u="1"/>
        <s v="CTN1691889002" u="1"/>
        <s v="CTN1981819502" u="1"/>
        <s v="CTN1699752014" u="1"/>
        <s v="CTN3229787601" u="1"/>
        <s v="TRS3059208701" u="1"/>
        <s v="CTN1694766504" u="1"/>
        <s v="TRS3030412001" u="1"/>
        <s v="CTN1986690501" u="1"/>
        <s v="CTN3300613201" u="1"/>
        <s v="TRS3059208801" u="1"/>
        <s v="CTN3106437201" u="1"/>
        <s v="CTN1981819702" u="1"/>
        <s v="CTN1967903803" u="1"/>
        <s v="CTN1967923802" u="1"/>
        <s v="CTN2008077802" u="1"/>
        <s v="TRS3059208901" u="1"/>
        <s v="CTN1965479907" u="1"/>
        <s v="CTN1989630504" u="1"/>
        <s v="CTN1986690701" u="1"/>
        <s v="CTN3106437301" u="1"/>
        <s v="CTN1981819802" u="1"/>
        <s v="CTN2760421401" u="1"/>
        <s v="CTN3229441701" u="1"/>
        <s v="CTN1984089504" u="1"/>
        <s v="CTN1691880409" u="1"/>
        <s v="CTN1969774101" u="1"/>
        <s v="CTN1997455001" u="1"/>
        <s v="CTN1701249506" u="1"/>
        <s v="CTN3071400201" u="1"/>
        <s v="CTN2008701902" u="1"/>
        <s v="CTN4942126701" u="1"/>
        <s v="CTN1691912906" u="1"/>
        <s v="CTN1939887602" u="1"/>
        <s v="CTN1969588501" u="1"/>
        <s v="CTN2759021701" u="1"/>
        <s v="CTN3214842901" u="1"/>
        <s v="CTN3106437701" u="1"/>
        <s v="CTN1970350017" u="1"/>
        <s v="CTN3220355101" u="1"/>
        <s v="CTN1721649212" u="1"/>
        <s v="CTN1969774401" u="1"/>
        <s v="CTN2008074303" u="1"/>
        <s v="CTN1701558004" u="1"/>
        <s v="CTN3409701301" u="1"/>
        <s v="CTN3301258201" u="1"/>
        <s v="AFCTN3211078201" u="1"/>
        <s v="CTN1962960601" u="1"/>
        <s v="CTN1980524105" u="1"/>
        <s v="CTN3056029701" u="1"/>
        <s v="CTN3348173501" u="1"/>
        <s v="CTN3005097801" u="1"/>
        <s v="CTN3064429501" u="1"/>
        <s v="CTN3100371801" u="1"/>
        <s v="CTN1693577605" u="1"/>
        <s v="CTN1722085101" u="1"/>
        <s v="CTN1713532917" u="1"/>
        <s v="CTN1967242701" u="1"/>
        <s v="CTN1960585302" u="1"/>
        <s v="CTN1964585102" u="1"/>
        <s v="CTN1685964201" u="1"/>
        <s v="CTN1999689308" u="1"/>
        <s v="CTN1969774701" u="1"/>
        <s v="CTN3229524801" u="1"/>
        <s v="CTN1983481803" u="1"/>
        <s v="CTN1987324201" u="1"/>
        <s v="CTN3082176601" u="1"/>
        <s v="CTN3757899701" u="1"/>
        <s v="CTN5662047601" u="1"/>
        <s v="CTN3165703401" u="1"/>
        <s v="CTN1967242901" u="1"/>
        <s v="CTN3046896301" u="1"/>
        <s v="CTN1977928804" u="1"/>
        <s v="CTN3328257301" u="1"/>
        <s v="TRS3051774301" u="1"/>
        <s v="CTN1981816703" u="1"/>
        <s v="CTN1702987919" u="1"/>
        <s v="CTN1974842605" u="1"/>
        <s v="CTN3066429801" u="1"/>
        <s v="CTN3082445001" u="1"/>
        <s v="CTN1699783504" u="1"/>
        <s v="CTN1995103806" u="1"/>
        <s v="CTN1974144904" u="1"/>
        <s v="CTN2948057501" u="1"/>
        <s v="CTN1715835706" u="1"/>
        <s v="CTN5766667701" u="1"/>
        <s v="CTN1984607005" u="1"/>
        <s v="TRS3219952001" u="1"/>
        <s v="CTN1987324701" u="1"/>
        <s v="CTN3229541301" u="1"/>
        <s v="CTN3301275001" u="1"/>
        <s v="CTN1994692104" u="1"/>
        <s v="CTN3422305903" u="1"/>
        <s v="TRS3219952101" u="1"/>
        <s v="CTN3515834301" u="1"/>
        <s v="CTN1989407101" u="1"/>
        <s v="CTN1709086501" u="1"/>
        <s v="CTN1994329003" u="1"/>
        <s v="CTN2006446002" u="1"/>
        <s v="CTN3052129201" u="1"/>
        <s v="CTN3328257801" u="1"/>
        <s v="TRS3219952201" u="1"/>
        <s v="CTN1989407201" u="1"/>
        <s v="CTN1983135302" u="1"/>
        <s v="CTN1701252802" u="1"/>
        <s v="CTN1986687201" u="1"/>
        <s v="TRS3219952301" u="1"/>
        <s v="CTN3004197201" u="1"/>
        <s v="CTN1685292822" u="1"/>
        <s v="CTN1989407301" u="1"/>
        <s v="CTN3139770901" u="1"/>
        <s v="AFCTN3198641201" u="1"/>
        <s v="AFCTN3194660001" u="1"/>
        <s v="CTN1983135402" u="1"/>
        <s v="CTN3065194201" u="1"/>
        <s v="AFCTN3216188501" u="1"/>
        <s v="CTN1994329203" u="1"/>
        <s v="TRS3219952401" u="1"/>
        <s v="CTN1979985402" u="1"/>
        <s v="CTN3004197301" u="1"/>
        <s v="CTN1963971706" u="1"/>
        <s v="CTN1987667302" u="1"/>
        <s v="CTN1983135502" u="1"/>
        <s v="CTN1987321102" u="1"/>
        <s v="CTN3298117201" u="1"/>
        <s v="TRS3219952501" u="1"/>
        <s v="CTN1984135502" u="1"/>
        <s v="CTN2948243901" u="1"/>
        <s v="CTN3508265101" u="1"/>
        <s v="CTN1709964507" u="1"/>
        <s v="CTN1981853502" u="1"/>
        <s v="CTN1689692802" u="1"/>
        <s v="CTN1967213808" u="1"/>
        <s v="CTN1702984906" u="1"/>
        <s v="CTN3100723601" u="1"/>
        <s v="TRS3219952601" u="1"/>
        <s v="CTN3004197501" u="1"/>
        <s v="TRS3219597001" u="1"/>
        <s v="CTN1667244402" u="1"/>
        <s v="CTN1994692704" u="1"/>
        <s v="CTN3082445901" u="1"/>
        <s v="CTN3065978801" u="1"/>
        <s v="TRS3219952701" u="1"/>
        <s v="CTN3758104901" u="1"/>
        <s v="TRS3219597101" u="1"/>
        <s v="CTN1968522206" u="1"/>
        <s v="CTN1970464207" u="1"/>
        <s v="TRS3219597201" u="1"/>
        <s v="CTN3043633801" u="1"/>
        <s v="CTN2009360103" u="1"/>
        <s v="CTN1720574704" u="1"/>
        <s v="CTN1697729701" u="1"/>
        <s v="TRS3219597301" u="1"/>
        <s v="CTN3296051301" u="1"/>
        <s v="CTN1989407901" u="1"/>
        <s v="CTN1721554705" u="1"/>
        <s v="CTN2743084801" u="1"/>
        <s v="CTN3292397801" u="1"/>
        <s v="CTN1710306001" u="1"/>
        <s v="CTN2015734109" u="1"/>
        <s v="CTN3229269101" u="1"/>
        <s v="AFCTN3198311301" u="1"/>
        <s v="CTN2989072601" u="1"/>
        <s v="CTN5737740201" u="1"/>
        <s v="CTN3087193901" u="1"/>
        <s v="CTN1977902307" u="1"/>
        <s v="CTN3311944001" u="1"/>
        <s v="CTN2004915206" u="1"/>
        <s v="CTN1997438211" u="1"/>
        <s v="CTN3064529901" u="1"/>
        <s v="CTN3180447201" u="1"/>
        <s v="CTN1979996407" u="1"/>
        <s v="CTN3311944201" u="1"/>
        <s v="CTN3301627001" u="1"/>
        <s v="CTN3223269801" u="1"/>
        <s v="CTN1970347503" u="1"/>
        <s v="CTN1996423609" u="1"/>
        <s v="CTN3226269701" u="1"/>
        <s v="CTN3114954201" u="1"/>
        <s v="CTN1708678403" u="1"/>
        <s v="CTN1660281701" u="1"/>
        <s v="CTN3037782801" u="1"/>
        <s v="CTN3223286001" u="1"/>
        <s v="CTN3302544801" u="1"/>
        <s v="CTN1960167906" u="1"/>
        <s v="CTN1987956801" u="1"/>
        <s v="CTN1965479903" u="1"/>
        <s v="CTN2003566101" u="1"/>
        <s v="CTN3127553601" u="1"/>
        <s v="CTN3173047801" u="1"/>
        <s v="CTN1692932601" u="1"/>
        <s v="CTN1987916903" u="1"/>
        <s v="CTN1987956901" u="1"/>
        <s v="TRS3327822001" u="1"/>
        <s v="CTN1705707201" u="1"/>
        <s v="CTN1692926706" u="1"/>
        <s v="CTN2951211601" u="1"/>
        <s v="CTN3114954501" u="1"/>
        <s v="TRS3327822101" u="1"/>
        <s v="CTN1691880405" u="1"/>
        <s v="CTN3127553801" u="1"/>
        <s v="CTN1701249502" u="1"/>
        <s v="CTN3151234901" u="1"/>
        <s v="CTN3229286001" u="1"/>
        <s v="CTN3289160603" u="1"/>
        <s v="CTN1690880505" u="1"/>
        <s v="CTN3066480001" u="1"/>
        <s v="TRS3327822201" u="1"/>
        <s v="CTN1691912902" u="1"/>
        <s v="CTN3407995001" u="1"/>
        <s v="CTN1705641001" u="1"/>
        <s v="CTN1974839905" u="1"/>
        <s v="CTN1994409304" u="1"/>
        <s v="CTN3068480001" u="1"/>
        <s v="TRS3327822301" u="1"/>
        <s v="CTN3105637501" u="1"/>
        <s v="CTN3305627501" u="1"/>
        <s v="CTN2003566501" u="1"/>
        <s v="CTN3181278101" u="1"/>
        <s v="CTN1709249302" u="1"/>
        <s v="CTN1995103102" u="1"/>
        <s v="CTN1970350013" u="1"/>
        <s v="CTN3068480101" u="1"/>
        <s v="CTN3056163001" u="1"/>
        <s v="CTN3065629101" u="1"/>
        <s v="CTN3105637601" u="1"/>
        <s v="CTN5669261706" u="1"/>
        <s v="CTN1694303410" u="1"/>
        <s v="CTN1980524101" u="1"/>
        <s v="TRS3327822501" u="1"/>
        <s v="CTN5767318801" u="1"/>
        <s v="CTN1981524101" u="1"/>
        <s v="CTN1987318002" u="1"/>
        <s v="CTN3181278301" u="1"/>
        <s v="CTN3301375701" u="1"/>
        <s v="TRS3219949401" u="1"/>
        <s v="TRS3104301701" u="1"/>
        <s v="TRS3327822601" u="1"/>
        <s v="CTN1714099009" u="1"/>
        <s v="CTN1713532913" u="1"/>
        <s v="CTN1692923307" u="1"/>
        <s v="CTN2989172401" u="1"/>
        <s v="TRS3219949501" u="1"/>
        <s v="CTN3070600601" u="1"/>
        <s v="TRS3104301801" u="1"/>
        <s v="TRS3327822701" u="1"/>
        <s v="CTN1981524301" u="1"/>
        <s v="CTN1967236802" u="1"/>
        <s v="CTN1690963505" u="1"/>
        <s v="CTN1702987901" u="1"/>
        <s v="TRS3219949601" u="1"/>
        <s v="TRS3104301901" u="1"/>
        <s v="CTN3154148001" u="1"/>
        <s v="CTN3374137001" u="1"/>
        <s v="TRS3327822801" u="1"/>
        <s v="CTN1709967602" u="1"/>
        <s v="CTN3299217701" u="1"/>
        <s v="CTN3099161301" u="1"/>
        <s v="TRS3219949701" u="1"/>
        <s v="CTN1978178503" u="1"/>
        <s v="CTN3311961501" u="1"/>
        <s v="CTN3229369201" u="1"/>
        <s v="CTN1702987915" u="1"/>
        <s v="CTN2007234705" u="1"/>
        <s v="CTN3099161401" u="1"/>
        <s v="CTN1974842601" u="1"/>
        <s v="TRS3219949801" u="1"/>
        <s v="CTN1710323801" u="1"/>
        <s v="CTN2002291003" u="1"/>
        <s v="CTN3097244001" u="1"/>
        <s v="CTN1995103802" u="1"/>
        <s v="CTN3099161501" u="1"/>
        <s v="CTN5883170201" u="1"/>
        <s v="TRS3219949901" u="1"/>
        <s v="CTN3302644401" u="1"/>
        <s v="CTN3304830101" u="1"/>
        <s v="CTN1981816713" u="1"/>
        <s v="CTN3156334001" u="1"/>
        <s v="CTN2015517201" u="1"/>
        <s v="CTN3305561901" u="1"/>
        <s v="CTN1694903708" u="1"/>
        <s v="CTN1701472301" u="1"/>
        <s v="CTN1984607001" u="1"/>
        <s v="CTN1676232801" u="1"/>
        <s v="TRS3291327001" u="1"/>
        <s v="CTN1977524509" u="1"/>
        <s v="CTN1987412108" u="1"/>
        <s v="CTN1974842901" u="1"/>
        <s v="CTN1984607101" u="1"/>
        <s v="CTN3305112401" u="1"/>
        <s v="CTN2003031402" u="1"/>
        <s v="CTN3304830301" u="1"/>
        <s v="CTN3080393001" u="1"/>
        <s v="CTN3167997601" u="1"/>
        <s v="TRS3291327101" u="1"/>
        <s v="CTN3154082101" u="1"/>
        <s v="CTN5869423401" u="1"/>
        <s v="CTN3151148701" u="1"/>
        <s v="CTN1973141201" u="1"/>
        <s v="CTN1726537701" u="1"/>
        <s v="CTN3080393101" u="1"/>
        <s v="CTN3298420101" u="1"/>
        <s v="CTN3328391201" u="1"/>
        <s v="TRS3291327201" u="1"/>
        <s v="CTN3409546501" u="1"/>
        <s v="CTN3131521401" u="1"/>
        <s v="CTN5794016701" u="1"/>
        <s v="CTN1688300405" u="1"/>
        <s v="CTN1967888001" u="1"/>
        <s v="CTN3055964401" u="1"/>
        <s v="TRS3291327301" u="1"/>
        <s v="CTN1971647507" u="1"/>
        <s v="CTN1977544808" u="1"/>
        <s v="CTN5737671001" u="1"/>
        <s v="CTN3295234601" u="1"/>
        <s v="CTN2015079601" u="1"/>
        <s v="CTN3307392401" u="1"/>
        <s v="CTN3115084301" u="1"/>
        <s v="CTN3080393301" u="1"/>
        <s v="TRS3291327401" u="1"/>
        <s v="CTN1714944510" u="1"/>
        <s v="CTN2015079701" u="1"/>
        <s v="CTN3137083301" u="1"/>
        <s v="CTN2003031802" u="1"/>
        <s v="CTN5794016901" u="1"/>
        <s v="CTN2004374003" u="1"/>
        <s v="TRS3291327501" u="1"/>
        <s v="CTN3083459701" u="1"/>
        <s v="CTN4942091801" u="1"/>
        <s v="CTN1967213804" u="1"/>
        <s v="CTN1690920508" u="1"/>
        <s v="CTN1968522002" u="1"/>
        <s v="CTN3090410902" u="1"/>
        <s v="CTN1967888301" u="1"/>
        <s v="TRS3291327601" u="1"/>
        <s v="CTN3214172501" u="1"/>
        <s v="CTN3045750901" u="1"/>
        <s v="CTN3305830801" u="1"/>
        <s v="CTN3295234901" u="1"/>
        <s v="CTN3047301201" u="1"/>
        <s v="CTN3068832201" u="1"/>
        <s v="CTN1690179404" u="1"/>
        <s v="CTN2010691603" u="1"/>
        <s v="CTN2008079809" u="1"/>
        <s v="TRS3291327701" u="1"/>
        <s v="CTN1989595103" u="1"/>
        <s v="CTN1699159005" u="1"/>
        <s v="CTN2009320001" u="1"/>
        <s v="CTN3068832301" u="1"/>
        <s v="CTN3100568001" u="1"/>
        <s v="CTN1968522202" u="1"/>
        <s v="TRS3291327801" u="1"/>
        <s v="CTN3127922301" u="1"/>
        <s v="CTN3074794201" u="1"/>
        <s v="CTN1968522302" u="1"/>
        <s v="TRS3075990101" u="1"/>
        <s v="TRS3291327901" u="1"/>
        <s v="CTN1719852502" u="1"/>
        <s v="CTN1969596303" u="1"/>
        <s v="CTN1692935610" u="1"/>
        <s v="CTN1721554701" u="1"/>
        <s v="CTN1971650103" u="1"/>
        <s v="CTN3082914201" u="1"/>
        <s v="AFCTN3229507001" u="1"/>
        <s v="CTN3130884401" u="1"/>
        <s v="TRS3075990201" u="1"/>
        <s v="CTN1995941201" u="1"/>
        <s v="CTN2015734105" u="1"/>
        <s v="CTN1690228201" u="1"/>
        <s v="CTN1982366006" u="1"/>
        <s v="CTN3226572501" u="1"/>
        <s v="TRS3075990301" u="1"/>
        <s v="TRS2944021001" u="1"/>
        <s v="CTN1963187201" u="1"/>
        <s v="CTN3324448807" u="1"/>
        <s v="CTN1698179504" u="1"/>
        <s v="CTN1967868902" u="1"/>
        <s v="TRS2944021101" u="1"/>
        <s v="CTN1977902303" u="1"/>
        <s v="TRS3055356001" u="1"/>
        <s v="CTN1973224701" u="1"/>
        <s v="CTN2004915202" u="1"/>
        <s v="CTN1982366206" u="1"/>
        <s v="TRS3075990501" u="1"/>
        <s v="CTN1698994909" u="1"/>
        <s v="CTN1709097702" u="1"/>
        <s v="CTN2015076602" u="1"/>
        <s v="CTN3080559101" u="1"/>
        <s v="CTN2994672601" u="1"/>
        <s v="CTN2758404601" u="1"/>
        <s v="TRS3075990601" u="1"/>
        <s v="CTN1979996403" u="1"/>
        <s v="CTN1995935606" u="1"/>
        <s v="CTN1995941601" u="1"/>
        <s v="CTN1714955701" u="1"/>
        <s v="CTN3229123101" u="1"/>
        <s v="CTN3053000001" u="1"/>
        <s v="CTN3066663301" u="1"/>
        <s v="CTN3298503801" u="1"/>
        <s v="TRS3075990701" u="1"/>
        <s v="CTN1646482101" u="1"/>
        <s v="TRS3421841501" u="1"/>
        <s v="TRS3040674801" u="1"/>
        <s v="CTN1709097902" u="1"/>
        <s v="CTN1960865603" u="1"/>
        <s v="TRS3075990801" u="1"/>
        <s v="TRS3421841601" u="1"/>
        <s v="CTN3214086101" u="1"/>
        <s v="CTN1699414101" u="1"/>
        <s v="CTN3053000201" u="1"/>
        <s v="TRS3075990901" u="1"/>
        <s v="CTN1960167902" u="1"/>
        <s v="TRS3421841701" u="1"/>
        <s v="CTN1701469101" u="1"/>
        <s v="CTN3068915701" u="1"/>
        <s v="CTN2008729702" u="1"/>
        <s v="CTN3068477701" u="1"/>
        <s v="TRS3421841801" u="1"/>
        <s v="CTN1982455201" u="1"/>
        <s v="TRS3421841901" u="1"/>
        <s v="CTN1691880401" u="1"/>
        <s v="CTN2011771204" u="1"/>
        <s v="CTN3151248901" u="1"/>
        <s v="CTN1690880501" u="1"/>
        <s v="CTN1719171701" u="1"/>
        <s v="CTN1718506401" u="1"/>
        <s v="CTN1962144104" u="1"/>
        <s v="CTN1977870706" u="1"/>
        <s v="CTN2001952101" u="1"/>
        <s v="CTN5793582501" u="1"/>
        <s v="TRS3062839001" u="1"/>
        <s v="CTN3129398001" u="1"/>
        <s v="CTN3137435501" u="1"/>
        <s v="CTN3080745601" u="1"/>
        <s v="CTN1974307901" u="1"/>
        <s v="CTN2001952201" u="1"/>
        <s v="CTN3306043001" u="1"/>
        <s v="TRS3062839101" u="1"/>
        <s v="CTN1701469501" u="1"/>
        <s v="CTN1999474108" u="1"/>
        <s v="CTN3180647801" u="1"/>
        <s v="CTN3223140101" u="1"/>
        <s v="CTN3758684401" u="1"/>
        <s v="CTN1718506601" u="1"/>
        <s v="CTN3056177001" u="1"/>
        <s v="CTN3113968901" u="1"/>
        <s v="CTN3045747501" u="1"/>
        <s v="CTN5738053401" u="1"/>
        <s v="TRS3062839201" u="1"/>
        <s v="TRS2950970001" u="1"/>
        <s v="CTN3084493401" u="1"/>
        <s v="CTN1720542108" u="1"/>
        <s v="CTN1974138301" u="1"/>
        <s v="CTN1982363207" u="1"/>
        <s v="TRS3057811001" u="1"/>
        <s v="CTN2001952401" u="1"/>
        <s v="TRS3062839301" u="1"/>
        <s v="CTN5755304901" u="1"/>
        <s v="TRS2950970101" u="1"/>
        <s v="CTN1708689204" u="1"/>
        <s v="CTN1970481803" u="1"/>
        <s v="TRS2947636601" u="1"/>
        <s v="TRS3057811101" u="1"/>
        <s v="CTN1987675304" u="1"/>
        <s v="CTN2001952501" u="1"/>
        <s v="TRS3062839401" u="1"/>
        <s v="CTN1989592804" u="1"/>
        <s v="CTN2011771704" u="1"/>
        <s v="TRS2950970201" u="1"/>
        <s v="CTN1692923303" u="1"/>
        <s v="CTN3020765001" u="1"/>
        <s v="CTN5730771901" u="1"/>
        <s v="CTN3328388501" u="1"/>
        <s v="CTN3056177301" u="1"/>
        <s v="TRS2947636701" u="1"/>
        <s v="TRS3057811201" u="1"/>
        <s v="TRS3062839501" u="1"/>
        <s v="CTN3068829101" u="1"/>
        <s v="TRS2950970301" u="1"/>
        <s v="CTN1690963501" u="1"/>
        <s v="CTN3020765101" u="1"/>
        <s v="TRS3146144001" u="1"/>
        <s v="TRS2947636801" u="1"/>
        <s v="TRS3057811301" u="1"/>
        <s v="CTN1713532923" u="1"/>
        <s v="CTN3137518501" u="1"/>
        <s v="TRS3062839601" u="1"/>
        <s v="CTN3324909301" u="1"/>
        <s v="TRS2950970401" u="1"/>
        <s v="CTN5674129001" u="1"/>
        <s v="TRS3146144101" u="1"/>
        <s v="CTN1974304502" u="1"/>
        <s v="CTN3153983401" u="1"/>
        <s v="CTN1974072301" u="1"/>
        <s v="CTN3107668001" u="1"/>
        <s v="CTN3223569301" u="1"/>
        <s v="TRS3062839701" u="1"/>
        <s v="CTN3063400901" u="1"/>
        <s v="TRS2950970501" u="1"/>
        <s v="CTN2007234701" u="1"/>
        <s v="TRS3102781801" u="1"/>
        <s v="CTN3160665401" u="1"/>
        <s v="CTN3050446101" u="1"/>
        <s v="TRS3146144201" u="1"/>
        <s v="CTN1964453002" u="1"/>
        <s v="TRS3057811501" u="1"/>
        <s v="CTN3307658101" u="1"/>
        <s v="TRS3062839801" u="1"/>
        <s v="CTN1695411502" u="1"/>
        <s v="TRS2950970601" u="1"/>
        <s v="TRS3146144301" u="1"/>
        <s v="CTN1974138901" u="1"/>
        <s v="TRS3057811601" u="1"/>
        <s v="TRS2950970701" u="1"/>
        <s v="CTN1694903704" u="1"/>
        <s v="TRS3146144401" u="1"/>
        <s v="TRS3057811701" u="1"/>
        <s v="CTN3295603901" u="1"/>
        <s v="CTN1977524505" u="1"/>
        <s v="CTN3229486901" u="1"/>
        <s v="CTN5869354901" u="1"/>
        <s v="CTN1987412104" u="1"/>
        <s v="TRS2950970801" u="1"/>
        <s v="TRS3146144501" u="1"/>
        <s v="TRS3057811801" u="1"/>
        <s v="CTN2002285304" u="1"/>
        <s v="CTN3060231601" u="1"/>
        <s v="CTN3113985801" u="1"/>
        <s v="CTN1983538801" u="1"/>
        <s v="CTN1694903718" u="1"/>
        <s v="TRS2950970901" u="1"/>
        <s v="CTN1975155101" u="1"/>
        <s v="CTN3133003201" u="1"/>
        <s v="TRS3146144601" u="1"/>
        <s v="CTN3127919701" u="1"/>
        <s v="TRS3057811901" u="1"/>
        <s v="CTN1987924305" u="1"/>
        <s v="CTN3074193101" u="1"/>
        <s v="CTN1983538901" u="1"/>
        <s v="CTN3297751409" u="1"/>
        <s v="CTN1987412118" u="1"/>
        <s v="CTN2009517305" u="1"/>
        <s v="CTN1965473401" u="1"/>
        <s v="CTN1973135302" u="1"/>
        <s v="CTN3136984801" u="1"/>
        <s v="CTN2009251101" u="1"/>
        <s v="TRS3146144701" u="1"/>
        <s v="CTN1688300401" u="1"/>
        <s v="CTN1977544804" u="1"/>
        <s v="CTN3110996206" u="1"/>
        <s v="CTN3076445401" u="1"/>
        <s v="TRS3146144801" u="1"/>
        <s v="CTN1988472401" u="1"/>
        <s v="CTN2989269801" u="1"/>
        <s v="TRS3146144901" u="1"/>
        <s v="CTN3326125801" u="1"/>
        <s v="CTN3758066301" u="1"/>
        <s v="CTN3051194601" u="1"/>
        <s v="CTN1690920504" u="1"/>
        <s v="CTN3758784201" u="1"/>
        <s v="CTN3758066401" u="1"/>
        <s v="CTN2007866001" u="1"/>
        <s v="CTN1695482304" u="1"/>
        <s v="CTN2007334001" u="1"/>
        <s v="CTN1694345001" u="1"/>
        <s v="CTN1716514207" u="1"/>
        <s v="CTN1978321302" u="1"/>
        <s v="CTN2004334201" u="1"/>
        <s v="CTN2008079805" u="1"/>
        <s v="CTN1699159001" u="1"/>
        <s v="CTN2007334101" u="1"/>
        <s v="CTN3047063101" u="1"/>
        <s v="CTN3016279001" u="1"/>
        <s v="CTN3033278201" u="1"/>
        <s v="CTN2007334201" u="1"/>
        <s v="CTN3308592701" u="1"/>
        <s v="CTN3130283901" u="1"/>
        <s v="CTN1973218402" u="1"/>
        <s v="TRS3225679001" u="1"/>
        <s v="CTN1715846803" u="1"/>
        <s v="CTN3315011001" u="1"/>
        <s v="CTN1982366002" u="1"/>
        <s v="CTN3508582901" u="1"/>
        <s v="TRS3225679101" u="1"/>
        <s v="CTN1964450303" u="1"/>
        <s v="CTN3758066901" u="1"/>
        <s v="CTN1977781407" u="1"/>
        <s v="CTN2009334401" u="1"/>
        <s v="CTN3324448803" u="1"/>
        <s v="CTN5738236201" u="1"/>
        <s v="TRS3225679201" u="1"/>
        <s v="CTN1995935402" u="1"/>
        <s v="CTN3019997101" u="1"/>
        <s v="CTN3048063501" u="1"/>
        <s v="CTN3061863101" u="1"/>
        <s v="CTN2939792601" u="1"/>
        <s v="TRS2950967001" u="1"/>
        <s v="GOLDIRAN" u="1"/>
        <s v="CTN3423313001" u="1"/>
        <s v="CTN1982366016" u="1"/>
        <s v="CTN1982366202" u="1"/>
        <s v="TRS3225679301" u="1"/>
        <s v="CTN3230005001" u="1"/>
        <s v="CTN3005597801" u="1"/>
        <s v="TRS2950967101" u="1"/>
        <s v="CTN1698994905" u="1"/>
        <s v="CTN1694745309" u="1"/>
        <s v="CTN1714960608" u="1"/>
        <s v="TRS3225679401" u="1"/>
        <s v="CTN1977902313" u="1"/>
        <s v="CTN1995935602" u="1"/>
        <s v="CTN2007866801" u="1"/>
        <s v="CTN2987724901" u="1"/>
        <s v="CTN2005677102" u="1"/>
        <s v="TRS2950967201" u="1"/>
        <s v="CTN1989243604" u="1"/>
        <s v="CTN3308861501" u="1"/>
        <s v="CTN1982366402" u="1"/>
        <s v="CTN1996423601" u="1"/>
        <s v="TRS3225679501" u="1"/>
        <s v="CTN3175616901" u="1"/>
        <s v="CTN1971644704" u="1"/>
        <s v="CTN2005677202" u="1"/>
        <s v="TRS2950967301" u="1"/>
        <s v="TRS2943221301" u="1"/>
        <s v="CTN3052995801" u="1"/>
        <s v="CTN3272535201" u="1"/>
        <s v="CTN1686680001" u="1"/>
        <s v="CTN3216269801" u="1"/>
        <s v="TRS3225679601" u="1"/>
        <s v="CTN3230099301" u="1"/>
        <s v="TRS2950967401" u="1"/>
        <s v="CTN1983512304" u="1"/>
        <s v="TRS3100515001" u="1"/>
        <s v="CTN5694228401" u="1"/>
        <s v="TRS3283945001" u="1"/>
        <s v="CTN1994403902" u="1"/>
        <s v="TRS3225679701" u="1"/>
        <s v="CTN2004331202" u="1"/>
        <s v="CTN3518172907" u="1"/>
        <s v="TRS2950967501" u="1"/>
        <s v="CTN1977172601" u="1"/>
        <s v="TRS3100515101" u="1"/>
        <s v="CTN1974386609" u="1"/>
        <s v="TRS3225679801" u="1"/>
        <s v="CTN1981818806" u="1"/>
        <s v="TRS2950967601" u="1"/>
        <s v="CTN1721771401" u="1"/>
        <s v="CTN3139366801" u="1"/>
        <s v="TRS3059210001" u="1"/>
        <s v="CTN1998677707" u="1"/>
        <s v="TRS3100515201" u="1"/>
        <s v="CTN1982366802" u="1"/>
        <s v="CTN1988512304" u="1"/>
        <s v="CTN3160502101" u="1"/>
        <s v="TRS3225679901" u="1"/>
        <s v="CTN3308412301" u="1"/>
        <s v="CTN3089862401" u="1"/>
        <s v="CTN3138103101" u="1"/>
        <s v="TRS2950967701" u="1"/>
        <s v="TRS3059210101" u="1"/>
        <s v="CTN3423313701" u="1"/>
        <s v="CTN3513178401" u="1"/>
        <s v="TRS3100515301" u="1"/>
        <s v="CTN1984586605" u="1"/>
        <s v="CTN1977870702" u="1"/>
        <s v="TRS2950967801" u="1"/>
        <s v="CTN1689454503" u="1"/>
        <s v="TRS3059210201" u="1"/>
        <s v="CTN1967192908" u="1"/>
        <s v="CTN3424845801" u="1"/>
        <s v="TRS3100515401" u="1"/>
        <s v="CTN1987689004" u="1"/>
        <s v="CTN1715823905" u="1"/>
        <s v="TRS2950967901" u="1"/>
        <s v="CTN1999474104" u="1"/>
        <s v="TRS3059210301" u="1"/>
        <s v="TRS3100515501" u="1"/>
        <s v="CTN2012785404" u="1"/>
        <s v="CTN1970504002" u="1"/>
        <s v="CTN1967908301" u="1"/>
        <s v="CTN1995946407" u="1"/>
        <s v="CTN2007926003" u="1"/>
        <s v="CTN3071545901" u="1"/>
        <s v="TRS3059210401" u="1"/>
        <s v="TRS3100515601" u="1"/>
        <s v="CTN1970318302" u="1"/>
        <s v="CTN1720542104" u="1"/>
        <s v="CTN1982363203" u="1"/>
        <s v="CTN1981855305" u="1"/>
        <s v="CTN2000382005" u="1"/>
        <s v="CTN2004331802" u="1"/>
        <s v="CTN3330281307" u="1"/>
        <s v="CTN1983469601" u="1"/>
        <s v="CTN1999474118" u="1"/>
        <s v="TRS3059210501" u="1"/>
        <s v="TRS3100515701" u="1"/>
        <s v="CTN1714099001" u="1"/>
        <s v="CTN1977913504" u="1"/>
        <s v="TRS3059210601" u="1"/>
        <s v="CTN3301243401" u="1"/>
        <s v="TRS3100515801" u="1"/>
        <s v="CTN1968513904" u="1"/>
        <s v="CTN1970504302" u="1"/>
        <s v="CTN1691891002" u="1"/>
        <s v="CTN1971744104" u="1"/>
        <s v="CTN3214023001" u="1"/>
        <s v="CTN1702071201" u="1"/>
        <s v="TRS3100515901" u="1"/>
        <s v="CTN1968842201" u="1"/>
        <s v="CTN1989635402" u="1"/>
        <s v="CTN1979601407" u="1"/>
        <s v="CTN3005603501" u="1"/>
        <s v="CTN1970504502" u="1"/>
        <s v="CTN1996414807" u="1"/>
        <s v="CTN1702071401" u="1"/>
        <s v="CTN1711537501" u="1"/>
        <s v="CTN1719820306" u="1"/>
        <s v="CTN3006165601" u="1"/>
        <s v="TRS3421171001" u="1"/>
        <s v="CTN1979272001" u="1"/>
        <s v="CTN3096627701" u="1"/>
        <s v="CTN1989907901" u="1"/>
        <s v="CTN1987924001" u="1"/>
        <s v="CTN3081962201" u="1"/>
        <s v="CTN1702071601" u="1"/>
        <s v="CTN2945574701" u="1"/>
        <s v="CTN3005603801" u="1"/>
        <s v="TRS3068973001" u="1"/>
        <s v="TRS3421171101" u="1"/>
        <s v="CTN5706469901" u="1"/>
        <s v="CTN1970504802" u="1"/>
        <s v="CTN1978504402" u="1"/>
        <s v="CTN3300326401" u="1"/>
        <s v="CTN1987924101" u="1"/>
        <s v="CTN2006265001" u="1"/>
        <s v="CTN3106067901" u="1"/>
        <s v="CTN1977524501" u="1"/>
        <s v="CTN3053377801" u="1"/>
        <s v="TRS3068973101" u="1"/>
        <s v="TRS3421171201" u="1"/>
        <s v="CTN3020433401" u="1"/>
        <s v="TRS3068973201" u="1"/>
        <s v="CTN1694903714" u="1"/>
        <s v="TRS3421171301" u="1"/>
        <s v="CTN1718517602" u="1"/>
        <s v="CTN1984380003" u="1"/>
        <s v="CTN1987924301" u="1"/>
        <s v="CTN3044180101" u="1"/>
        <s v="CTN3297751405" u="1"/>
        <s v="CTN1987412114" u="1"/>
        <s v="CTN2009517301" u="1"/>
        <s v="TRS3068973301" u="1"/>
        <s v="TRS3421171401" u="1"/>
        <s v="CTN1663077405" u="1"/>
        <s v="CTN3077030601" u="1"/>
        <s v="CTN3349072001" u="1"/>
        <s v="CTN1995923509" u="1"/>
        <s v="CTN2015376802" u="1"/>
        <s v="TRS3421171501" u="1"/>
        <s v="CTN1687096304" u="1"/>
        <s v="CTN3110996202" u="1"/>
        <s v="CTN3349072101" u="1"/>
        <s v="CTN3020433701" u="1"/>
        <s v="CTN1987924501" u="1"/>
        <s v="CTN3297751419" u="1"/>
        <s v="CTN3757518301" u="1"/>
        <s v="CTN1713671505" u="1"/>
        <s v="TRS3421171601" u="1"/>
        <s v="CTN1973232903" u="1"/>
        <s v="CTN1940757101" u="1"/>
        <s v="TRS3576005501" u="1"/>
        <s v="CTN1718485505" u="1"/>
        <s v="CTN1984380303" u="1"/>
        <s v="CTN1977544814" u="1"/>
        <s v="CTN3056031901" u="1"/>
        <s v="CTN3305792301" u="1"/>
        <s v="CTN1966999702" u="1"/>
        <s v="TRS3421171701" u="1"/>
        <s v="TRS3102801001" u="1"/>
        <s v="CTN3320874001" u="1"/>
        <s v="CTN3232105601" u="1"/>
        <s v="CTN1989646407" u="1"/>
        <s v="CTN3425693501" u="1"/>
        <s v="CTN3043432801" u="1"/>
        <s v="TRS3421171801" u="1"/>
        <s v="CTN1686677101" u="1"/>
        <s v="TRS3080085501" u="1"/>
        <s v="CTN1987918806" u="1"/>
        <s v="CTN3064431801" u="1"/>
        <s v="CTN3304512701" u="1"/>
        <s v="CTN3062262101" u="1"/>
        <s v="CTN1966999902" u="1"/>
        <s v="CTN1967213810" u="1"/>
        <s v="TRS3421171901" u="1"/>
        <s v="CTN3228955701" u="1"/>
        <s v="TRS3102801201" u="1"/>
        <s v="CTN1708686601" u="1"/>
        <s v="TRS3080085601" u="1"/>
        <s v="CTN3304512801" u="1"/>
        <s v="CTN1710296406" u="1"/>
        <s v="CTN1721768401" u="1"/>
        <s v="CTN1705686801" u="1"/>
        <s v="CTN3307409301" u="1"/>
        <s v="CTN1963238305" u="1"/>
        <s v="CTN1996929003" u="1"/>
        <s v="TRS3102801301" u="1"/>
        <s v="CTN1986921002" u="1"/>
        <s v="CTN2003056203" u="1"/>
        <s v="CTN1694339202" u="1"/>
        <s v="TRS3080085701" u="1"/>
        <s v="CTN1964444104" u="1"/>
        <s v="CTN3304512901" u="1"/>
        <s v="CTN1699159011" u="1"/>
        <s v="TRS3102801401" u="1"/>
        <s v="CTN1968484002" u="1"/>
        <s v="CTN1981818002" u="1"/>
        <s v="CTN1955439201" u="1"/>
        <s v="CTN1983223501" u="1"/>
        <s v="CTN3082513701" u="1"/>
        <s v="TRS3080085901" u="1"/>
        <s v="CTN1982423405" u="1"/>
        <s v="CTN3163948801" u="1"/>
        <s v="CTN3518278701" u="1"/>
        <s v="CTN1984380903" u="1"/>
        <s v="CTN1997866802" u="1"/>
        <s v="CTN3047981101" u="1"/>
        <s v="CTN3149883101" u="1"/>
        <s v="CTN1977781403" u="1"/>
        <s v="CTN5679077801" u="1"/>
        <s v="CTN1989223301" u="1"/>
        <s v="CTN2007256107" u="1"/>
        <s v="TRS3102801601" u="1"/>
        <s v="CTN1694359501" u="1"/>
        <s v="CTN1989901203" u="1"/>
        <s v="TRS3102801701" u="1"/>
        <s v="CTN1982366012" u="1"/>
        <s v="CTN3016302901" u="1"/>
        <s v="CTN1977781417" u="1"/>
        <s v="CTN3169882301" u="1"/>
        <s v="CTN3043346101" u="1"/>
        <s v="CTN1698994901" u="1"/>
        <s v="CTN1967204602" u="1"/>
        <s v="TRS3102801801" u="1"/>
        <s v="CTN1694745305" u="1"/>
        <s v="CTN1986921502" u="1"/>
        <s v="CTN3228972301" u="1"/>
        <s v="CTN1714960604" u="1"/>
        <s v="CTN3327090201" u="1"/>
        <s v="CTN3064345101" u="1"/>
        <s v="CTN1981818402" u="1"/>
        <s v="CTN3208441301" u="1"/>
        <s v="CTN3047981401" u="1"/>
        <s v="TRS3102801901" u="1"/>
        <s v="CTN1694339802" u="1"/>
        <s v="CTN3064345201" u="1"/>
        <s v="CTN2003036904" u="1"/>
        <s v="CTN2985140701" u="1"/>
        <s v="CTN1981818602" u="1"/>
        <s v="CTN3063980801" u="1"/>
        <s v="CTN1677088602" u="1"/>
        <s v="CTN3064345401" u="1"/>
        <s v="CTN3072027301" u="1"/>
        <s v="CTN2759618701" u="1"/>
        <s v="CTN3077559101" u="1"/>
        <s v="CTN1967241001" u="1"/>
        <s v="CTN2985140901" u="1"/>
        <s v="CTN3151033901" u="1"/>
        <s v="CTN1996417902" u="1"/>
        <s v="CTN1974386605" u="1"/>
        <s v="CTN3064345501" u="1"/>
        <s v="CTN1981818802" u="1"/>
        <s v="CTN3084092301" u="1"/>
        <s v="CTN2015519104" u="1"/>
        <s v="CTN1998677703" u="1"/>
        <s v="CTN3522695401" u="1"/>
        <s v="CTN1947691801" u="1"/>
        <s v="CTN1952908305" u="1"/>
        <s v="CTN1977186801" u="1"/>
        <s v="CTN1967241201" u="1"/>
        <s v="CTN1984586601" u="1"/>
        <s v="CTN2008754904" u="1"/>
        <s v="CTN3522695501" u="1"/>
        <s v="CTN3072213401" u="1"/>
        <s v="CTN3114118401" u="1"/>
        <s v="CTN1713628107" u="1"/>
        <s v="CTN1947691901" u="1"/>
        <s v="CTN1977186901" u="1"/>
        <s v="CTN3081175101" u="1"/>
        <s v="CTN3229440901" u="1"/>
        <s v="CTN1967192904" u="1"/>
        <s v="CTN3347610401" u="1"/>
        <s v="CTN2003365701" u="1"/>
        <s v="CTN3304509201" u="1"/>
        <s v="CTN1995946403" u="1"/>
        <s v="CTN3160450001" u="1"/>
        <s v="CTN1974143204" u="1"/>
        <s v="CTN3301709205" u="1"/>
        <s v="CTN3081361101" u="1"/>
        <s v="CTN1684903004" u="1"/>
        <s v="CTN3522964001" u="1"/>
        <s v="CTN3131051401" u="1"/>
        <s v="TRS3420540101" u="1"/>
        <s v="CTN3106436801" u="1"/>
        <s v="CTN1981855301" u="1"/>
        <s v="CTN2000382001" u="1"/>
        <s v="CTN1999474114" u="1"/>
        <s v="CTN3229168001" u="1"/>
        <s v="CTN1996874108" u="1"/>
        <s v="CTN3308789001" u="1"/>
        <s v="CTN1984577007" u="1"/>
        <s v="CTN3304509401" u="1"/>
        <s v="CTN3306509301" u="1"/>
        <s v="CTN1969773601" u="1"/>
        <s v="CTN1711522209" u="1"/>
        <s v="CTN1692439302" u="1"/>
        <s v="CTN1694336803" u="1"/>
        <s v="CTN3308612701" u="1"/>
        <s v="CTN1970286101" u="1"/>
        <s v="CTN1999474128" u="1"/>
        <s v="CTN1969773701" u="1"/>
        <s v="CTN1694336903" u="1"/>
        <s v="CTN1714099011" u="1"/>
        <s v="CTN1706039108" u="1"/>
        <s v="CTN1709972601" u="1"/>
        <s v="CTN3165702401" u="1"/>
        <s v="CTN5669261722" u="1"/>
        <s v="CTN1690187402" u="1"/>
        <s v="CTN1719820302" u="1"/>
        <s v="CTN5923126601" u="1"/>
        <s v="CTN1998674604" u="1"/>
        <s v="CTN1689963301" u="1"/>
        <s v="CTN2002322404" u="1"/>
        <s v="CTN1987291104" u="1"/>
        <s v="CTN1977778203" u="1"/>
        <s v="CTN1977910001" u="1"/>
        <s v="CTN1961750503" u="1"/>
        <s v="TRS3219951001" u="1"/>
        <s v="CTN3225886701" u="1"/>
        <s v="CTN3373840301" u="1"/>
        <s v="CTN1987317706" u="1"/>
        <s v="CTN3043446201" u="1"/>
        <s v="CTN3087893701" u="1"/>
        <s v="CTN3225886801" u="1"/>
        <s v="CTN3298379701" u="1"/>
        <s v="CTN1960169405" u="1"/>
        <s v="TRS3219951201" u="1"/>
        <s v="CTN1987412110" u="1"/>
        <s v="CTN1999691004" u="1"/>
        <s v="CTN3123535301" u="1"/>
        <s v="CTN1698899407" u="1"/>
        <s v="CTN1717611104" u="1"/>
        <s v="CTN1702886201" u="1"/>
        <s v="CTN2012782501" u="1"/>
        <s v="CTN3080630401" u="1"/>
        <s v="TRS3219951301" u="1"/>
        <s v="CTN1977778603" u="1"/>
        <s v="CTN1995923505" u="1"/>
        <s v="CTN3204186201" u="1"/>
        <s v="CTN5686042102" u="1"/>
        <s v="CTN4949225101" u="1"/>
        <s v="CTN2003362902" u="1"/>
        <s v="CTN1702763903" u="1"/>
        <s v="CTN2012782601" u="1"/>
        <s v="CTN1708691208" u="1"/>
        <s v="TRS3219951401" u="1"/>
        <s v="CTN3297751415" u="1"/>
        <s v="CTN3348272001" u="1"/>
        <s v="CTN1713671501" u="1"/>
        <s v="CTN1702886401" u="1"/>
        <s v="CTN1686691902" u="1"/>
        <s v="CTN3020447801" u="1"/>
        <s v="CTN3082444701" u="1"/>
        <s v="CTN1720573304" u="1"/>
        <s v="CTN1984374304" u="1"/>
        <s v="TRS3219951501" u="1"/>
        <s v="CTN3328273101" u="1"/>
        <s v="CTN3065528001" u="1"/>
        <s v="CTN1983560204" u="1"/>
        <s v="CTN3059128201" u="1"/>
        <s v="CTN1709099905" u="1"/>
        <s v="CTN3307088401" u="1"/>
        <s v="CTN1968853202" u="1"/>
        <s v="CTN3064528101" u="1"/>
        <s v="CTN2005030806" u="1"/>
        <s v="CTN3082444801" u="1"/>
        <s v="TRS3219951601" u="1"/>
        <s v="CTN1989646403" u="1"/>
        <s v="CTN3221437901" u="1"/>
        <s v="CTN4949691001" u="1"/>
        <s v="CTN1987320302" u="1"/>
        <s v="CTN1702886601" u="1"/>
        <s v="CTN3075061101" u="1"/>
        <s v="CTN3048446601" u="1"/>
        <s v="CTN3100722701" u="1"/>
        <s v="CTN1987918802" u="1"/>
        <s v="CTN2002279901" u="1"/>
        <s v="TRS3219951701" u="1"/>
        <s v="CTN1989406701" u="1"/>
        <s v="CTN1983134802" u="1"/>
        <s v="CTN3155150101" u="1"/>
        <s v="TRS3219951801" u="1"/>
        <s v="CTN2935912201" u="1"/>
        <s v="CTN1690908806" u="1"/>
        <s v="CTN1690968803" u="1"/>
        <s v="CTN1963238301" u="1"/>
        <s v="CTN1987320502" u="1"/>
        <s v="CTN3349086601" u="1"/>
        <s v="CTN1968853502" u="1"/>
        <s v="CTN1984606905" u="1"/>
        <s v="CTN3106805001" u="1"/>
        <s v="CTN2008079811" u="1"/>
        <s v="TRS3219951901" u="1"/>
        <s v="CTN1709983906" u="1"/>
        <s v="CTN3347710601" u="1"/>
        <s v="CTN1967189804" u="1"/>
        <s v="CTN1973106001" u="1"/>
        <s v="CTN1977174808" u="1"/>
        <s v="CTN3099060201" u="1"/>
        <s v="CTN2002482001" u="1"/>
        <s v="TRS3219596401" u="1"/>
        <s v="CTN3081527701" u="1"/>
        <s v="CTN3065462101" u="1"/>
        <s v="CTN1937099502" u="1"/>
        <s v="CTN3066631901" u="1"/>
        <s v="CTN1982423401" u="1"/>
        <s v="TRS3219596501" u="1"/>
        <s v="CTN2007256103" u="1"/>
        <s v="TRS5787589601" u="1"/>
        <s v="CTN1974106201" u="1"/>
        <s v="CTN1978340809" u="1"/>
        <s v="TRS3219596601" u="1"/>
        <s v="TRS3025660201" u="1"/>
        <s v="CTN1711662407" u="1"/>
        <s v="CTN3089461101" u="1"/>
        <s v="CTN1987320902" u="1"/>
        <s v="CTN3229371701" u="1"/>
        <s v="CTN5677014001" u="1"/>
        <s v="CTN1967916403" u="1"/>
        <s v="CTN3508264901" u="1"/>
        <s v="TRS3219596701" u="1"/>
        <s v="CTN1977781413" u="1"/>
        <s v="CTN1706909504" u="1"/>
        <s v="CTN3114953001" u="1"/>
        <s v="TRS5787589801" u="1"/>
        <s v="CTN2002482401" u="1"/>
        <s v="TRS3219596801" u="1"/>
        <s v="CTN3185615801" u="1"/>
        <s v="CTN1965478603" u="1"/>
        <s v="CTN3229268501" u="1"/>
        <s v="CTN1701551206" u="1"/>
        <s v="CTN2008748405" u="1"/>
        <s v="TRS3219596901" u="1"/>
        <s v="CTN2993368601" u="1"/>
        <s v="CTN3156233301" u="1"/>
        <s v="CTN1721656804" u="1"/>
        <s v="CTN1989643404" u="1"/>
        <s v="CTN1989243610" u="1"/>
        <s v="CTN3300626301" u="1"/>
        <s v="CTN3004548301" u="1"/>
        <s v="CTN3169896801" u="1"/>
        <s v="TRS3327821001" u="1"/>
        <s v="CTN3127449301" u="1"/>
        <s v="CTN3114953501" u="1"/>
        <s v="CTN1966850603" u="1"/>
        <s v="CTN1684396204" u="1"/>
        <s v="CTN3230219401" u="1"/>
        <s v="AFCTN3232294601" u="1"/>
        <s v="TRS3327821101" u="1"/>
        <s v="CTN1965495103" u="1"/>
        <s v="AFCTN3203146001" u="1"/>
        <s v="TRS3327821201" u="1"/>
        <s v="CTN3305626401" u="1"/>
        <s v="CTN3301374401" u="1"/>
        <s v="CTN2000379801" u="1"/>
        <s v="CTN2010693002" u="1"/>
        <s v="CTN1981849102" u="1"/>
        <s v="TRS3327821301" u="1"/>
        <s v="CTN1971649306" u="1"/>
        <s v="CTN1713519809" u="1"/>
        <s v="CTN3011416401" u="1"/>
        <s v="CTN1995102102" u="1"/>
        <s v="CTN3100905001" u="1"/>
        <s v="CTN3151250101" u="1"/>
        <s v="CTN1944339001" u="1"/>
        <s v="CTN1980503002" u="1"/>
        <s v="CTN1984600207" u="1"/>
        <s v="CTN1977878903" u="1"/>
        <s v="CTN3326373301" u="1"/>
        <s v="CTN3295851901" u="1"/>
        <s v="CTN3301709201" u="1"/>
        <s v="CTN3317943701" u="1"/>
        <s v="CTN1707823905" u="1"/>
        <s v="CTN5683600601" u="1"/>
        <s v="CTN2947425501" u="1"/>
        <s v="CTN1707414303" u="1"/>
        <s v="CTN3320708301" u="1"/>
        <s v="CTN1980537105" u="1"/>
        <s v="CTN1996448402" u="1"/>
        <s v="TRS3327821501" u="1"/>
        <s v="CTN1987912404" u="1"/>
        <s v="CTN3003734701" u="1"/>
        <s v="CTN3065731601" u="1"/>
        <s v="CTN2003319904" u="1"/>
        <s v="CTN2001336004" u="1"/>
        <s v="CTN1996874104" u="1"/>
        <s v="CTN1984577003" u="1"/>
        <s v="CTN1977869109" u="1"/>
        <s v="TRS3327821601" u="1"/>
        <s v="CTN1714070001" u="1"/>
        <s v="CTN1711522205" u="1"/>
        <s v="CTN1963215903" u="1"/>
        <s v="CTN1718519909" u="1"/>
        <s v="CTN3104636901" u="1"/>
        <s v="CTN1720542110" u="1"/>
        <s v="CTN1982454805" u="1"/>
        <s v="CTN3102384801" u="1"/>
        <s v="TRS3327821701" u="1"/>
        <s v="CTN1999474124" u="1"/>
        <s v="CTN3136065401" u="1"/>
        <s v="CTN3229537801" u="1"/>
        <s v="CTN1714030103" u="1"/>
        <s v="CTN1964973801" u="1"/>
        <s v="CTN3068731701" u="1"/>
        <s v="CTN1973869509" u="1"/>
        <s v="TRS3327821801" u="1"/>
        <s v="CTN1706039104" u="1"/>
        <s v="CTN1686090602" u="1"/>
        <s v="CTN3100121201" u="1"/>
        <s v="CTN1714050202" u="1"/>
        <s v="CTN1692439312" u="1"/>
        <s v="CTN3053162601" u="1"/>
        <s v="CTN3080627801" u="1"/>
        <s v="TRS3099768901" u="1"/>
        <s v="TRS3327821901" u="1"/>
        <s v="CTN1971841701" u="1"/>
        <s v="CTN1684631301" u="1"/>
        <s v="CTN1736555308" u="1"/>
        <s v="CTN3014247101" u="1"/>
        <s v="CTN2947974101" u="1"/>
        <s v="CTN1714050216" u="1"/>
        <s v="CTN1719834402" u="1"/>
        <s v="CTN1977875604" u="1"/>
        <s v="CTN3065628801" u="1"/>
        <s v="TRS3123662501" u="1"/>
        <s v="CTN3097243101" u="1"/>
        <s v="CTN1709099301" u="1"/>
        <s v="CTN1983251402" u="1"/>
        <s v="CTN2009293802" u="1"/>
        <s v="CTN3307391001" u="1"/>
        <s v="CTN1974841801" u="1"/>
        <s v="CTN3014247301" u="1"/>
        <s v="TRS3291326001" u="1"/>
        <s v="CTN1710290604" u="1"/>
        <s v="CTN1987317702" u="1"/>
        <s v="CTN3087561401" u="1"/>
        <s v="CTN1967212304" u="1"/>
        <s v="CTN1983251502" u="1"/>
        <s v="TRS3123662701" u="1"/>
        <s v="TRS3291326101" u="1"/>
        <s v="CTN3311960901" u="1"/>
        <s v="CTN1987317802" u="1"/>
        <s v="CTN1960169401" u="1"/>
        <s v="CTN2947974501" u="1"/>
        <s v="TRS3291326201" u="1"/>
        <s v="CTN1698899403" u="1"/>
        <s v="CTN2002502705" u="1"/>
        <s v="CTN1967887001" u="1"/>
        <s v="CTN1995923501" u="1"/>
        <s v="CTN2007917101" u="1"/>
        <s v="TRS3291326301" u="1"/>
        <s v="CTN1694903720" u="1"/>
        <s v="CTN3125297101" u="1"/>
        <s v="CTN3308643601" u="1"/>
        <s v="CTN3326287101" u="1"/>
        <s v="CTN1967887101" u="1"/>
        <s v="CTN2947974701" u="1"/>
        <s v="CTN3297751411" u="1"/>
        <s v="TRS3291326401" u="1"/>
        <s v="AFCTN3222742401" u="1"/>
        <s v="CTN1677108802" u="1"/>
        <s v="CTN3097243601" u="1"/>
        <s v="CTN3154333701" u="1"/>
        <s v="TRS3291326501" u="1"/>
        <s v="CTN3154081501" u="1"/>
        <s v="CTN1709099901" u="1"/>
        <s v="TRS3056338301" u="1"/>
        <s v="CTN1973140601" u="1"/>
        <s v="CTN1708691218" u="1"/>
        <s v="CTN2005030802" u="1"/>
        <s v="CTN2948339401" u="1"/>
        <s v="CTN1989886201" u="1"/>
        <s v="TRS3291326601" u="1"/>
        <s v="CTN1718270805" u="1"/>
        <s v="CTN3131603201" u="1"/>
        <s v="CTN3097243801" u="1"/>
        <s v="TRS3291326701" u="1"/>
        <s v="CTN1987368405" u="1"/>
        <s v="CTN1697124102" u="1"/>
        <s v="CTN1967223009" u="1"/>
        <s v="CTN3137082601" u="1"/>
        <s v="TRS3291326801" u="1"/>
        <s v="CTN3157333901" u="1"/>
        <s v="CTN1984606901" u="1"/>
        <s v="CTN1978360504" u="1"/>
        <s v="TRS3291326901" u="1"/>
        <s v="CTN3138082701" u="1"/>
        <s v="CTN1721636101" u="1"/>
        <s v="CTN3307660201" u="1"/>
        <s v="CTN3130883401" u="1"/>
        <s v="CTN3155081901" u="1"/>
        <s v="CTN2994671201" u="1"/>
        <s v="CTN1690227101" u="1"/>
        <s v="CTN1701637201" u="1"/>
        <s v="CTN1705637001" u="1"/>
        <s v="CTN1987314703" u="1"/>
        <s v="CTN3100819501" u="1"/>
        <s v="CTN2994671301" u="1"/>
        <s v="CTN1979995103" u="1"/>
        <s v="CTN3185629501" u="1"/>
        <s v="CTN3068831701" u="1"/>
        <s v="CTN1690227301" u="1"/>
        <s v="CTN1968501603" u="1"/>
        <s v="CTN1978340805" u="1"/>
        <s v="CTN1979995203" u="1"/>
        <s v="CTN2992036101" u="1"/>
        <s v="CTN3055794501" u="1"/>
        <s v="CTN1711662403" u="1"/>
        <s v="CTN3151247201" u="1"/>
        <s v="TRS3569022101" u="1"/>
        <s v="CTN3291024903" u="1"/>
        <s v="CTN3005133101" u="1"/>
        <s v="CTN1968521702" u="1"/>
        <s v="CTN2016610907" u="1"/>
        <s v="CTN3081913601" u="1"/>
        <s v="AFCTN3223832901" u="1"/>
        <s v="CTN3111249301" u="1"/>
        <s v="TRS3569022201" u="1"/>
        <s v="CTN3304809601" u="1"/>
        <s v="CTN3229122001" u="1"/>
        <s v="CTN1702740901" u="1"/>
        <s v="CTN3130434201" u="1"/>
        <s v="CTN3137531306" u="1"/>
        <s v="CTN3229385901" u="1"/>
        <s v="CTN5677028201" u="1"/>
        <s v="CTN1701551202" u="1"/>
        <s v="CTN1714968705" u="1"/>
        <s v="CTN2008748401" u="1"/>
        <s v="CTN1686711302" u="1"/>
        <s v="CTN3068662201" u="1"/>
        <s v="CTN3170432301" u="1"/>
        <s v="CTN3328473901" u="1"/>
        <s v="CTN1721642510" u="1"/>
        <s v="CTN3513695001" u="1"/>
        <s v="CTN1706909514" u="1"/>
        <s v="CTN1942659704" u="1"/>
        <s v="CTN5890203501" u="1"/>
        <s v="CTN1987417702" u="1"/>
        <s v="CTN1699413101" u="1"/>
        <s v="CTN1705399405" u="1"/>
        <s v="CTN3317239301" u="1"/>
        <s v="CTN3066476701" u="1"/>
        <s v="CTN1718505101" u="1"/>
        <s v="CTN1997579206" u="1"/>
        <s v="CTN3167647001" u="1"/>
        <s v="CTN1999399301" u="1"/>
        <s v="CTN3317239401" u="1"/>
        <s v="CTN5677028501" u="1"/>
        <s v="CTN3226299001" u="1"/>
        <s v="CTN1979995803" u="1"/>
        <s v="CTN3087913801" u="1"/>
        <s v="CTN1999399401" u="1"/>
        <s v="CTN3307557701" u="1"/>
        <s v="CTN2989168801" u="1"/>
        <s v="CTN1666629401" u="1"/>
        <s v="CTN2758952201" u="1"/>
        <s v="CTN3066931001" u="1"/>
        <s v="CTN3294416101" u="1"/>
        <s v="CTN3014281301" u="1"/>
        <s v="TRS3225681001" u="1"/>
        <s v="TRS3062838001" u="1"/>
        <s v="AFCTN3232295601" u="1"/>
        <s v="CTN3374067101" u="1"/>
        <s v="TRS3225681101" u="1"/>
        <s v="TRS3062838101" u="1"/>
        <s v="CTN1721550902" u="1"/>
        <s v="CTN1735066701" u="1"/>
        <s v="CTN3080558901" u="1"/>
        <s v="CTN1980537001" u="1"/>
        <s v="CTN1984600203" u="1"/>
        <s v="CTN3156433701" u="1"/>
        <s v="TRS3225681201" u="1"/>
        <s v="TRS3062838201" u="1"/>
        <s v="CTN3289167908" u="1"/>
        <s v="CTN1967192910" u="1"/>
        <s v="CTN2758952501" u="1"/>
        <s v="CTN1980537101" u="1"/>
        <s v="CTN3220568001" u="1"/>
        <s v="CTN1984600303" u="1"/>
        <s v="TRS3105846601" u="1"/>
        <s v="TRS3225681301" u="1"/>
        <s v="CTN1983537001" u="1"/>
        <s v="TRS3062838301" u="1"/>
        <s v="CTN3104836601" u="1"/>
        <s v="TRS3105846701" u="1"/>
        <s v="CTN1718493403" u="1"/>
        <s v="TRS3057810101" u="1"/>
        <s v="CTN3127649701" u="1"/>
        <s v="TRS3225681401" u="1"/>
        <s v="TRS3062838401" u="1"/>
        <s v="CTN1973137501" u="1"/>
        <s v="CTN3088744601" u="1"/>
        <s v="CTN1714931703" u="1"/>
        <s v="CTN1982454801" u="1"/>
        <s v="TRS3105846801" u="1"/>
        <s v="TRS3057810201" u="1"/>
        <s v="CTN1999474120" u="1"/>
        <s v="CTN3229737601" u="1"/>
        <s v="TRS3225681501" u="1"/>
        <s v="CTN1715705905" u="1"/>
        <s v="CTN1977772801" u="1"/>
        <s v="CTN3306042401" u="1"/>
        <s v="TRS3062838501" u="1"/>
        <s v="CTN1701468901" u="1"/>
        <s v="CTN3127303601" u="1"/>
        <s v="CTN1984577013" u="1"/>
        <s v="CTN3004934701" u="1"/>
        <s v="CTN3226299801" u="1"/>
        <s v="TRS3105846901" u="1"/>
        <s v="TRS3146143001" u="1"/>
        <s v="CTN1973869505" u="1"/>
        <s v="TRS3057810301" u="1"/>
        <s v="TRS3225681601" u="1"/>
        <s v="TRS3062838601" u="1"/>
        <s v="CTN1705408804" u="1"/>
        <s v="CTN1711522215" u="1"/>
        <s v="CTN1975480803" u="1"/>
        <s v="CTN1690902604" u="1"/>
        <s v="CTN3226299901" u="1"/>
        <s v="TRS3146143101" u="1"/>
        <s v="CTN1973869605" u="1"/>
        <s v="TRS3057810401" u="1"/>
        <s v="CTN1686084703" u="1"/>
        <s v="CTN2992053601" u="1"/>
        <s v="CTN3311788701" u="1"/>
        <s v="TRS3225681701" u="1"/>
        <s v="TRS3062838701" u="1"/>
        <s v="CTN1989640501" u="1"/>
        <s v="CTN1698893905" u="1"/>
        <s v="CTN1736555304" u="1"/>
        <s v="TRS3146143201" u="1"/>
        <s v="TRS3057810501" u="1"/>
        <s v="TRS3225681801" u="1"/>
        <s v="CTN3421744301" u="1"/>
        <s v="TRS3062838801" u="1"/>
        <s v="TRS3057810601" u="1"/>
        <s v="CTN3311788901" u="1"/>
        <s v="TRS3062838901" u="1"/>
        <s v="AFCTN3231870201" u="1"/>
        <s v="CTN3080389901" u="1"/>
        <s v="TRS3146143401" u="1"/>
        <s v="CTN1974303802" u="1"/>
        <s v="TRS3057810701" u="1"/>
        <s v="CTN1983537701" u="1"/>
        <s v="CTN3111349401" u="1"/>
        <s v="CTN3305591001" u="1"/>
        <s v="TRS3146143501" u="1"/>
        <s v="TRS3057810801" u="1"/>
        <s v="CTN3060230601" u="1"/>
        <s v="CTN1695410802" u="1"/>
        <s v="CTN1701465502" u="1"/>
        <s v="CTN2009316401" u="1"/>
        <s v="CTN3229222201" u="1"/>
        <s v="CTN1972563903" u="1"/>
        <s v="TRS3146143601" u="1"/>
        <s v="TRS3057810901" u="1"/>
        <s v="CTN1991871201" u="1"/>
        <s v="CTN1962984602" u="1"/>
        <s v="CTN3068576601" u="1"/>
        <s v="TRS3146143701" u="1"/>
        <s v="CTN1988471301" u="1"/>
        <s v="CTN2002502701" u="1"/>
        <s v="CTN3060313201" u="1"/>
        <s v="CTN1960160504" u="1"/>
        <s v="CTN1991871301" u="1"/>
        <s v="CTN3305125701" u="1"/>
        <s v="CTN1964652406" u="1"/>
        <s v="TRS3146143801" u="1"/>
        <s v="CTN3060230901" u="1"/>
        <s v="CTN1697773202" u="1"/>
        <s v="CTN1994405701" u="1"/>
        <s v="TRS3146143901" u="1"/>
        <s v="CTN1995923511" u="1"/>
        <s v="CTN2982471001" u="1"/>
        <s v="CTN3076192301" u="1"/>
        <s v="CTN1977872201" u="1"/>
        <s v="CTN2008064601" u="1"/>
        <s v="CTN1719167301" u="1"/>
        <s v="CTN1730907004" u="1"/>
        <s v="CTN3066659401" u="1"/>
        <s v="CTN1713513307" u="1"/>
        <s v="CTN2004742803" u="1"/>
        <s v="CTN3407828301" u="1"/>
        <s v="CTN1961755305" u="1"/>
        <s v="CTN1987368401" u="1"/>
        <s v="CTN1967223005" u="1"/>
        <s v="CTN3066659601" u="1"/>
        <s v="CTN3292204204" u="1"/>
        <s v="CTN1699747508" u="1"/>
        <s v="CTN2001948001" u="1"/>
        <s v="CTN3074192801" u="1"/>
        <s v="TRS3027139801" u="1"/>
        <s v="CTN1695401608" u="1"/>
        <s v="CTN1967223019" u="1"/>
        <s v="CTN2013275102" u="1"/>
        <s v="CTN3305142301" u="1"/>
        <s v="CTN1972603106" u="1"/>
        <s v="CTN3100684601" u="1"/>
        <s v="CTN1689968503" u="1"/>
        <s v="TRS3225678001" u="1"/>
        <s v="CTN1688164304" u="1"/>
        <s v="CTN1987368701" u="1"/>
        <s v="CTN5705554401" u="1"/>
        <s v="CTN2013275202" u="1"/>
        <s v="CTN3298516401" u="1"/>
        <s v="CTN1972603206" u="1"/>
        <s v="CTN1660288202" u="1"/>
        <s v="CTN3308591901" u="1"/>
        <s v="TRS3225678101" u="1"/>
        <s v="CTN1989236309" u="1"/>
        <s v="CTN1974843008" u="1"/>
        <s v="CTN3298516501" u="1"/>
        <s v="CTN1995948406" u="1"/>
        <s v="CTN3106404701" u="1"/>
        <s v="TRS3225678201" u="1"/>
        <s v="CTN3177895301" u="1"/>
        <s v="CTN1999402202" u="1"/>
        <s v="CTN2007333601" u="1"/>
        <s v="CTN2013275402" u="1"/>
        <s v="CTN3166578201" u="1"/>
        <s v="CTN3340569501" u="1"/>
        <s v="CTN3106404801" u="1"/>
        <s v="TRS3225678301" u="1"/>
        <s v="CTN2003347905" u="1"/>
        <s v="CTN3315356501" u="1"/>
        <s v="CTN1963203806" u="1"/>
        <s v="CTN1970506201" u="1"/>
        <s v="TRS3225678401" u="1"/>
        <s v="CTN1990390404" u="1"/>
        <s v="CTN3304225201" u="1"/>
        <s v="CTN2009679901" u="1"/>
        <s v="CTN3082927701" u="1"/>
        <s v="CTN1714968701" u="1"/>
        <s v="CTN2001344106" u="1"/>
        <s v="CTN1980505309" u="1"/>
        <s v="CTN3076358101" u="1"/>
        <s v="TRS3225678501" u="1"/>
        <s v="CTN1967878203" u="1"/>
        <s v="CTN1706909510" u="1"/>
        <s v="CTN3080927901" u="1"/>
        <s v="CTN1973234002" u="1"/>
        <s v="CTN3340838001" u="1"/>
        <s v="CTN3407313101" u="1"/>
        <s v="CTN1973151602" u="1"/>
        <s v="CTN1718519001" u="1"/>
        <s v="CTN1970506401" u="1"/>
        <s v="CTN3088592901" u="1"/>
        <s v="TRS3225678601" u="1"/>
        <s v="CTN1995934802" u="1"/>
        <s v="AFCTN3227024201" u="1"/>
        <s v="CTN3137531316" u="1"/>
        <s v="CTN1705399401" u="1"/>
        <s v="CTN3090609801" u="1"/>
        <s v="CTN1975151602" u="1"/>
        <s v="CTN3106767401" u="1"/>
        <s v="CTN1718519101" u="1"/>
        <s v="CTN1968506109" u="1"/>
        <s v="CTN1970506501" u="1"/>
        <s v="CTN3016278901" u="1"/>
        <s v="TRS3225678701" u="1"/>
        <s v="CTN3304225501" u="1"/>
        <s v="CTN1691893201" u="1"/>
        <s v="CTN3133448401" u="1"/>
        <s v="CTN3226070101" u="1"/>
        <s v="CTN5699364604" u="1"/>
        <s v="CTN1999402702" u="1"/>
        <s v="CTN1970506601" u="1"/>
        <s v="CTN3758417201" u="1"/>
        <s v="CTN5674142102" u="1"/>
        <s v="CTN1721656810" u="1"/>
        <s v="CTN2945556601" u="1"/>
        <s v="CTN1718519301" u="1"/>
        <s v="CTN1970506701" u="1"/>
        <s v="CTN3305943501" u="1"/>
        <s v="CTN1987325604" u="1"/>
        <s v="CTN1995110904" u="1"/>
        <s v="CTN1998676807" u="1"/>
        <s v="CTN3758417401" u="1"/>
        <s v="CTN3019996901" u="1"/>
        <s v="CTN1978171801" u="1"/>
        <s v="CTN1999696806" u="1"/>
        <s v="TRS2950966801" u="1"/>
        <s v="CTN1977171901" u="1"/>
        <s v="CTN1713092707" u="1"/>
        <s v="CTN1690218203" u="1"/>
        <s v="CTN1970337101" u="1"/>
        <s v="CTN3062413301" u="1"/>
        <s v="CTN1691873602" u="1"/>
        <s v="CTN3149951501" u="1"/>
        <s v="CTN3307757801" u="1"/>
        <s v="CTN1713519801" u="1"/>
        <s v="TRS2950966901" u="1"/>
        <s v="CTN3053293501" u="1"/>
        <s v="CTN1718519601" u="1"/>
        <s v="CTN1964572801" u="1"/>
        <s v="TRS5793511801" u="1"/>
        <s v="CTN1981820202" u="1"/>
        <s v="CTN3289167904" u="1"/>
        <s v="CTN1958953302" u="1"/>
        <s v="CTN3758417701" u="1"/>
        <s v="CTN1989877903" u="1"/>
        <s v="TRS5793511901" u="1"/>
        <s v="CTN3272002901" u="1"/>
        <s v="CTN3306056201" u="1"/>
        <s v="CTN1699407802" u="1"/>
        <s v="CTN2940041301" u="1"/>
        <s v="CTN1709399901" u="1"/>
        <s v="CTN1713613407" u="1"/>
        <s v="CTN3758417801" u="1"/>
        <s v="CTN1974085001" u="1"/>
        <s v="CTN2007925203" u="1"/>
        <s v="CTN3155716201" u="1"/>
        <s v="CTN1969586805" u="1"/>
        <s v="CTN2009676902" u="1"/>
        <s v="CTN3289167918" u="1"/>
        <s v="CTN1718519901" u="1"/>
        <s v="CTN1698581404" u="1"/>
        <s v="CTN2759517101" u="1"/>
        <s v="CTN2993505401" u="1"/>
        <s v="CTN5775147301" u="1"/>
        <s v="CTN1996874110" u="1"/>
        <s v="CTN5873152901" u="1"/>
        <s v="CTN2007330902" u="1"/>
        <s v="CTN1698175901" u="1"/>
        <s v="CTN1967907701" u="1"/>
        <s v="CTN3064161501" u="1"/>
        <s v="CTN3220153701" u="1"/>
        <s v="TRS3102794701" u="1"/>
        <s v="CTN1978523101" u="1"/>
        <s v="CTN3306308801" u="1"/>
        <s v="CTN1999474130" u="1"/>
        <s v="CTN3064161601" u="1"/>
        <s v="CTN2007330916" u="1"/>
        <s v="CTN1698893901" u="1"/>
        <s v="CTN1973869515" u="1"/>
        <s v="CTN2014472707" u="1"/>
        <s v="CTN1966998002" u="1"/>
        <s v="CTN3228871401" u="1"/>
        <s v="CTN3301073001" u="1"/>
        <s v="CTN1963978203" u="1"/>
        <s v="CTN3229937801" u="1"/>
        <s v="TRS3068972001" u="1"/>
        <s v="TRS3576004001" u="1"/>
        <s v="CTN1987668905" u="1"/>
        <s v="CTN1987923101" u="1"/>
        <s v="CTN3006350601" u="1"/>
        <s v="CTN3220170101" u="1"/>
        <s v="TRS3068972101" u="1"/>
        <s v="CTN3065161901" u="1"/>
        <s v="TRS3576004101" u="1"/>
        <s v="CTN1996490204" u="1"/>
        <s v="CTN1977783402" u="1"/>
        <s v="TRS3068972201" u="1"/>
        <s v="CTN1968841801" u="1"/>
        <s v="CTN3301073301" u="1"/>
        <s v="CTN1965466402" u="1"/>
        <s v="CTN1689450704" u="1"/>
        <s v="CTN1995064802" u="1"/>
        <s v="CTN3020964601" u="1"/>
        <s v="CTN5762734601" u="1"/>
        <s v="CTN2991868501" u="1"/>
        <s v="CTN2995868301" u="1"/>
        <s v="CTN1967904402" u="1"/>
        <s v="CTN1987923401" u="1"/>
        <s v="CTN1968924401" u="1"/>
        <s v="CTN1964652402" u="1"/>
        <s v="CTN1968486401" u="1"/>
        <s v="CTN3298101101" u="1"/>
        <s v="CTN1961755001" u="1"/>
        <s v="CTN1966998602" u="1"/>
        <s v="CTN3229236501" u="1"/>
        <s v="CTN1714962703" u="1"/>
        <s v="CTN1715839304" u="1"/>
        <s v="CTN1960174704" u="1"/>
        <s v="CTN1965569101" u="1"/>
        <s v="CTN1966998702" u="1"/>
        <s v="CTN1997450606" u="1"/>
        <s v="CTN1698993101" u="1"/>
        <s v="CTN1708691210" u="1"/>
        <s v="CTN2991868801" u="1"/>
        <s v="CTN1963237105" u="1"/>
        <s v="CTN3091008301" u="1"/>
        <s v="CTN3098709801" u="1"/>
        <s v="CTN1996450806" u="1"/>
        <s v="CTN3064430801" u="1"/>
        <s v="CTN3180162301" u="1"/>
        <s v="CTN1961755301" u="1"/>
        <s v="CTN3063793101" u="1"/>
        <s v="CTN3305408301" u="1"/>
        <s v="CTN1717610608" u="1"/>
        <s v="CTN5869104801" u="1"/>
        <s v="CTN1967223001" u="1"/>
        <s v="CTN3219105401" u="1"/>
        <s v="CTN1996450906" u="1"/>
        <s v="CTN3373899101" u="1"/>
        <s v="CTN1699747504" u="1"/>
        <s v="CTN3006264001" u="1"/>
        <s v="CTN3522617404" u="1"/>
        <s v="CTN1977929003" u="1"/>
        <s v="CTN2006264901" u="1"/>
        <s v="CTN1967223015" u="1"/>
        <s v="CTN1980528803" u="1"/>
        <s v="CTN3070289501" u="1"/>
        <s v="CTN1718270825" u="1"/>
        <s v="CTN1977929103" u="1"/>
        <s v="CTN3305688401" u="1"/>
        <s v="CTN3021329901" u="1"/>
        <s v="CTN1979262207" u="1"/>
        <s v="CTN1980508904" u="1"/>
        <s v="CTN3051130101" u="1"/>
        <s v="TRS3149938602" u="1"/>
        <s v="CTN1989236305" u="1"/>
        <s v="CTN1974843004" u="1"/>
        <s v="CTN3308688401" u="1"/>
        <s v="TRS2754189501" u="1"/>
        <s v="TRS3147789001" u="1"/>
        <s v="CTN1995948402" u="1"/>
        <s v="CTN1961749806" u="1"/>
        <s v="CTN2994605501" u="1"/>
        <s v="TRS3147789101" u="1"/>
        <s v="CTN1677994901" u="1"/>
        <s v="CTN1977897006" u="1"/>
        <s v="CTN3006264501" u="1"/>
        <s v="CTN2003347901" u="1"/>
        <s v="CTN1963203802" u="1"/>
        <s v="CTN1986920502" u="1"/>
        <s v="CTN1998676203" u="1"/>
        <s v="TRS3147789201" u="1"/>
        <s v="CTN1977929503" u="1"/>
        <s v="CTN1981817402" u="1"/>
        <s v="CTN3108166601" u="1"/>
        <s v="CTN1977780703" u="1"/>
        <s v="CTN5870847802" u="1"/>
        <s v="CTN2001344102" u="1"/>
        <s v="CTN2945224001" u="1"/>
        <s v="CTN1988508904" u="1"/>
        <s v="CTN1980505305" u="1"/>
        <s v="CTN2016610913" u="1"/>
        <s v="TRS3147789301" u="1"/>
        <s v="CTN1710198701" u="1"/>
        <s v="CTN3006264701" u="1"/>
        <s v="TRS3147789401" u="1"/>
        <s v="CTN3108166801" u="1"/>
        <s v="CTN2008075702" u="1"/>
        <s v="CTN2001344116" u="1"/>
        <s v="CTN1968506105" u="1"/>
        <s v="CTN1980359703" u="1"/>
        <s v="TRS3147789501" u="1"/>
        <s v="CTN1977929803" u="1"/>
        <s v="CTN1967901803" u="1"/>
        <s v="CTN3077558101" u="1"/>
        <s v="CTN3523946501" u="1"/>
        <s v="CTN1984150806" u="1"/>
        <s v="CTN1705399411" u="1"/>
        <s v="CTN1977185701" u="1"/>
        <s v="CTN3209440701" u="1"/>
        <s v="CTN1998676703" u="1"/>
        <s v="TRS3147789701" u="1"/>
        <s v="CTN3758096701" u="1"/>
        <s v="CTN1977185801" u="1"/>
        <s v="CTN1998676803" u="1"/>
        <s v="CTN3290810907" u="1"/>
        <s v="TRS3147789801" u="1"/>
        <s v="CTN1970342008" u="1"/>
        <s v="CTN1999696802" u="1"/>
        <s v="CTN2989568601" u="1"/>
        <s v="CTN1969586401" u="1"/>
        <s v="CTN3004178001" u="1"/>
        <s v="CTN1969772301" u="1"/>
        <s v="CTN3065613001" u="1"/>
        <s v="TRS3421167301" u="1"/>
        <s v="CTN3223270501" u="1"/>
        <s v="CTN1702765702" u="1"/>
        <s v="CTN1694355502" u="1"/>
        <s v="CTN1983525904" u="1"/>
        <s v="CTN1695472906" u="1"/>
        <s v="CTN3081091901" u="1"/>
        <s v="CTN3082091901" u="1"/>
        <s v="CTN1969772501" u="1"/>
        <s v="CTN3046894001" u="1"/>
        <s v="CTN3066613201" u="1"/>
        <s v="CTN3320507601" u="1"/>
        <s v="CTN2002510803" u="1"/>
        <s v="CTN1969586801" u="1"/>
        <s v="CTN3289167914" u="1"/>
        <s v="TRS3059223601" u="1"/>
        <s v="CTN3229167101" u="1"/>
        <s v="CTN1700848502" u="1"/>
        <s v="CTN3046894101" u="1"/>
        <s v="CTN1968480503" u="1"/>
        <s v="CTN2002510903" u="1"/>
        <s v="CTN3114117901" u="1"/>
        <s v="CTN3071930801" u="1"/>
        <s v="CTN2011950601" u="1"/>
        <s v="CTN1995098101" u="1"/>
        <s v="CTN3046894201" u="1"/>
        <s v="CTN3308611801" u="1"/>
        <s v="CTN1987668501" u="1"/>
        <s v="CTN3161701601" u="1"/>
        <s v="CTN1713521309" u="1"/>
        <s v="CTN1973225104" u="1"/>
        <s v="CTN3081174701" u="1"/>
        <s v="CTN5883220401" u="1"/>
        <s v="CTN1972614807" u="1"/>
        <s v="CTN3298378201" u="1"/>
        <s v="CTN1690186402" u="1"/>
        <s v="TRS3059223901" u="1"/>
        <s v="CTN1995098301" u="1"/>
        <s v="CTN3046894401" u="1"/>
        <s v="CTN3304508801" u="1"/>
        <s v="CTN1973869511" u="1"/>
        <s v="CTN3174131201" u="1"/>
        <s v="CTN1969597206" u="1"/>
        <s v="CTN3101704801" u="1"/>
        <s v="CTN1987316506" u="1"/>
        <s v="CTN1968855501" u="1"/>
        <s v="CTN3310842301" u="1"/>
        <s v="CTN1722315802" u="1"/>
        <s v="CTN1970285501" u="1"/>
        <s v="CTN3149982301" u="1"/>
        <s v="CTN1709098305" u="1"/>
        <s v="CTN3046894601" u="1"/>
        <s v="CTN1702742504" u="1"/>
        <s v="CTN2012781201" u="1"/>
        <s v="CTN2014472717" u="1"/>
        <s v="CTN3082443201" u="1"/>
        <s v="CTN1987668901" u="1"/>
        <s v="CTN3064976201" u="1"/>
        <s v="CTN3059230101" u="1"/>
        <s v="CTN1986685001" u="1"/>
        <s v="TRS3219950101" u="1"/>
        <s v="CTN3347337201" u="1"/>
        <s v="CTN1692927005" u="1"/>
        <s v="CTN1996873908" u="1"/>
        <s v="CTN2760333401" u="1"/>
        <s v="TRS3219950201" u="1"/>
        <s v="CTN1977537701" u="1"/>
        <s v="CTN1983479502" u="1"/>
        <s v="CTN3065192101" u="1"/>
        <s v="CTN3213222601" u="1"/>
        <s v="CTN1996498409" u="1"/>
        <s v="CTN3096348903" u="1"/>
        <s v="TRS3219950301" u="1"/>
        <s v="CTN3208185001" u="1"/>
        <s v="CTN5679528001" u="1"/>
        <s v="CTN1701470705" u="1"/>
        <s v="CTN2009361602" u="1"/>
        <s v="CTN3320710401" u="1"/>
        <s v="CTN1718258603" u="1"/>
        <s v="CTN3052313201" u="1"/>
        <s v="TRS3219950401" u="1"/>
        <s v="CTN1979611208" u="1"/>
        <s v="CTN3353205301" u="1"/>
        <s v="CTN1995095002" u="1"/>
        <s v="CTN3048259601" u="1"/>
        <s v="CTN3082443701" u="1"/>
        <s v="CTN3084443601" u="1"/>
        <s v="CTN3308339501" u="1"/>
        <s v="CTN1720572304" u="1"/>
        <s v="TRS3219950501" u="1"/>
        <s v="CTN1717610404" u="1"/>
        <s v="CTN2015077805" u="1"/>
        <s v="TRS3219950601" u="1"/>
        <s v="CTN1967872301" u="1"/>
        <s v="CTN1963237101" u="1"/>
        <s v="CTN3229184301" u="1"/>
        <s v="TRS2991815001" u="1"/>
        <s v="TRS3219950701" u="1"/>
        <s v="CTN3043445901" u="1"/>
        <s v="CTN1717610604" u="1"/>
        <s v="TRS2991815101" u="1"/>
        <s v="TRS3219950801" u="1"/>
        <s v="CTN2995619001" u="1"/>
        <s v="TRS3075405001" u="1"/>
        <s v="CTN1989393403" u="1"/>
        <s v="CTN3011501501" u="1"/>
        <s v="CTN3155401401" u="1"/>
        <s v="CTN1982496202" u="1"/>
        <s v="CTN1996450816" u="1"/>
        <s v="CTN3066630701" u="1"/>
        <s v="CTN3047977901" u="1"/>
        <s v="CTN3220453201" u="1"/>
        <s v="TRS3219950901" u="1"/>
        <s v="CTN3346085801" u="1"/>
        <s v="TRS3075405101" u="1"/>
        <s v="CTN1716221201" u="1"/>
        <s v="CTN1989405901" u="1"/>
        <s v="CTN1967223011" u="1"/>
        <s v="AFCTN5794390001" u="1"/>
        <s v="CTN1986685901" u="1"/>
        <s v="CTN1994158003" u="1"/>
        <s v="TRS3075405201" u="1"/>
        <s v="CTN1664073102" u="1"/>
        <s v="CTN1989625804" u="1"/>
        <s v="CTN3080992401" u="1"/>
        <s v="CTN1978173908" u="1"/>
        <s v="TRS3219595501" u="1"/>
        <s v="CTN1989236301" u="1"/>
        <s v="CTN1937098602" u="1"/>
        <s v="CTN2009295001" u="1"/>
        <s v="CTN3228985101" u="1"/>
        <s v="CTN1692930001" u="1"/>
        <s v="CTN1718270835" u="1"/>
        <s v="CTN1961749802" u="1"/>
        <s v="TRS3219595601" u="1"/>
        <s v="CTN2013601001" u="1"/>
        <s v="CTN2013332801" u="1"/>
        <s v="CTN3228985201" u="1"/>
        <s v="CTN1692930101" u="1"/>
        <s v="CTN1977897002" u="1"/>
        <s v="TRS3219595701" u="1"/>
        <s v="TRS2941434001" u="1"/>
        <s v="CTN3228985301" u="1"/>
        <s v="CTN3088526701" u="1"/>
        <s v="CTN3311141901" u="1"/>
        <s v="AFCTN3210983801" u="1"/>
        <s v="TRS3219595801" u="1"/>
        <s v="TRS2941434101" u="1"/>
        <s v="CTN3209640101" u="1"/>
        <s v="CTN3064993601" u="1"/>
        <s v="CTN3088526801" u="1"/>
        <s v="CTN1668751204" u="1"/>
        <s v="CTN1980505301" u="1"/>
        <s v="TRS3219595901" u="1"/>
        <s v="CTN2000201801" u="1"/>
        <s v="TRS2941434201" u="1"/>
        <s v="CTN2993367601" u="1"/>
        <s v="CTN3050862501" u="1"/>
        <s v="CTN1986682502" u="1"/>
        <s v="CTN3077489601" u="1"/>
        <s v="CTN1977179502" u="1"/>
        <s v="CTN2001344112" u="1"/>
        <s v="CTN1968506101" u="1"/>
        <s v="TRS3156857001" u="1"/>
        <s v="CTN3229267801" u="1"/>
        <s v="CTN1720518601" u="1"/>
        <s v="CTN2008733701" u="1"/>
        <s v="CTN1974105801" u="1"/>
        <s v="CTN1984150802" u="1"/>
        <s v="CTN5679359701" u="1"/>
        <s v="CTN1994719301" u="1"/>
        <s v="CTN1714621909" u="1"/>
        <s v="CTN1974139904" u="1"/>
        <s v="CTN1980493303" u="1"/>
        <s v="TRS3327820101" u="1"/>
        <s v="CTN1697109301" u="1"/>
        <s v="CTN1983233402" u="1"/>
        <s v="CTN2980067001" u="1"/>
        <s v="TRS3327820201" u="1"/>
        <s v="CTN1697109401" u="1"/>
        <s v="CTN1989170801" u="1"/>
        <s v="CTN1697109501" u="1"/>
        <s v="CTN2013601901" u="1"/>
        <s v="CTN1983213603" u="1"/>
        <s v="CTN3157232801" u="1"/>
        <s v="CTN3114952801" u="1"/>
        <s v="CTN3066544601" u="1"/>
        <s v="CTN3328186401" u="1"/>
        <s v="TRS3327820401" u="1"/>
        <s v="CTN1967234502" u="1"/>
        <s v="CTN1710286908" u="1"/>
        <s v="CTN1962254801" u="1"/>
        <s v="TRS3327820501" u="1"/>
        <s v="CTN3083543901" u="1"/>
        <s v="CTN1698984903" u="1"/>
        <s v="CTN1977176203" u="1"/>
        <s v="CTN3066813001" u="1"/>
        <s v="TRS3327820601" u="1"/>
        <s v="CTN1999427403" u="1"/>
        <s v="CTN3289167910" u="1"/>
        <s v="CTN1962972801" u="1"/>
        <s v="CTN1688155802" u="1"/>
        <s v="CTN3226470501" u="1"/>
        <s v="TRS3327820701" u="1"/>
        <s v="CTN3065813201" u="1"/>
        <s v="CTN3167901001" u="1"/>
        <s v="CTN1703702002" u="1"/>
        <s v="CTN1694349903" u="1"/>
        <s v="CTN1974820402" u="1"/>
        <s v="CTN1968494603" u="1"/>
        <s v="CTN1980522401" u="1"/>
        <s v="CTN3102383901" u="1"/>
        <s v="TRS3327820801" u="1"/>
        <s v="CTN1702078302" u="1"/>
        <s v="CTN3065813301" u="1"/>
        <s v="CTN1713521305" u="1"/>
        <s v="CTN1972562407" u="1"/>
        <s v="TRS3327820901" u="1"/>
        <s v="CTN1997873404" u="1"/>
        <s v="CTN1721652905" u="1"/>
        <s v="CTN1710301802" u="1"/>
        <s v="CTN1967912904" u="1"/>
        <s v="CTN1969597202" u="1"/>
        <s v="CTN1987316502" u="1"/>
        <s v="CTN3327641101" u="1"/>
        <s v="CTN1995115806" u="1"/>
        <s v="CTN2009301101" u="1"/>
        <s v="CTN2010692802" u="1"/>
        <s v="CTN1965503502" u="1"/>
        <s v="CTN1962869901" u="1"/>
        <s v="CTN3073057501" u="1"/>
        <s v="CTN5680942702" u="1"/>
        <s v="CTN1974840801" u="1"/>
        <s v="CTN3302539101" u="1"/>
        <s v="CTN2010692902" u="1"/>
        <s v="CTN2014472713" u="1"/>
        <s v="CTN1981845003" u="1"/>
        <s v="CTN1984084601" u="1"/>
        <s v="CTN1996936205" u="1"/>
        <s v="CTN1996922201" u="1"/>
        <s v="CTN3305110401" u="1"/>
        <s v="CTN1988502502" u="1"/>
        <s v="CTN1967869801" u="1"/>
        <s v="CTN1997438208" u="1"/>
        <s v="CTN2015735204" u="1"/>
        <s v="CTN3308110301" u="1"/>
        <s v="CTN3348986601" u="1"/>
        <s v="CTN1996873904" u="1"/>
        <s v="CTN1998684005" u="1"/>
        <s v="CTN2005023407" u="1"/>
        <s v="TRS3048123001" u="1"/>
        <s v="CTN3125903801" u="1"/>
        <s v="CTN3209740301" u="1"/>
        <s v="CTN1996498405" u="1"/>
        <s v="CTN1684630801" u="1"/>
        <s v="TRS3048123101" u="1"/>
        <s v="CTN1699752007" u="1"/>
        <s v="CTN1969597702" u="1"/>
        <s v="CTN1977187208" u="1"/>
        <s v="CTN3097242501" u="1"/>
        <s v="CTN5669076001" u="1"/>
        <s v="CTN1701470701" u="1"/>
        <s v="CTN1980353401" u="1"/>
        <s v="CTN1971748006" u="1"/>
        <s v="CTN1979611204" u="1"/>
        <s v="CTN1996922601" u="1"/>
        <s v="CTN1996498605" u="1"/>
        <s v="CTN2012981501" u="1"/>
        <s v="CTN1977917606" u="1"/>
        <s v="CTN2015077801" u="1"/>
        <s v="CTN1977871305" u="1"/>
        <s v="CTN3127920101" u="1"/>
        <s v="TRS3107493201" u="1"/>
        <s v="CTN3005581101" u="1"/>
        <s v="CTN1697123002" u="1"/>
        <s v="CTN1968520102" u="1"/>
        <s v="CTN3208571001" u="1"/>
        <s v="TRS3291325701" u="1"/>
        <s v="CTN3066458801" u="1"/>
        <s v="CTN3080643901" u="1"/>
        <s v="CTN3326538701" u="1"/>
        <s v="CTN5884317901" u="1"/>
        <s v="TRS3291325801" u="1"/>
        <s v="CTN3137081701" u="1"/>
        <s v="CTN1982573604" u="1"/>
        <s v="CTN1996450812" u="1"/>
        <s v="CTN3158163101" u="1"/>
        <s v="TRS3291325901" u="1"/>
        <s v="CTN3315072901" u="1"/>
        <s v="CTN2994670201" u="1"/>
        <s v="CTN3348099801" u="1"/>
        <s v="CTN3096073401" u="1"/>
        <s v="CTN1721649205" u="1"/>
        <s v="CTN1989167801" u="1"/>
        <s v="CTN3151246001" u="1"/>
        <s v="CTN3311238001" u="1"/>
        <s v="CTN3156881201" u="1"/>
        <s v="CTN1960594903" u="1"/>
        <s v="CTN1712235601" u="1"/>
        <s v="CTN1967223021" u="1"/>
        <s v="AFCTN3223750101" u="1"/>
        <s v="CTN1968520602" u="1"/>
        <s v="CTN1936410301" u="1"/>
        <s v="CTN3137882301" u="1"/>
        <s v="CTN1965371001" u="1"/>
        <s v="CTN1714933502" u="1"/>
        <s v="TRS3327817501" u="1"/>
        <s v="CTN1967883002" u="1"/>
        <s v="CTN2012280501" u="1"/>
        <s v="CTN1697123702" u="1"/>
        <s v="CTN1974843010" u="1"/>
        <s v="CTN1718270845" u="1"/>
        <s v="TRS3327817601" u="1"/>
        <s v="CTN1968520802" u="1"/>
        <s v="CTN1989908404" u="1"/>
        <s v="CTN3166480901" u="1"/>
        <s v="CTN3068727601" u="1"/>
        <s v="CTN3229121101" u="1"/>
        <s v="CTN1990378502" u="1"/>
        <s v="CTN3044476601" u="1"/>
        <s v="CTN3126379601" u="1"/>
        <s v="TRS3327817701" u="1"/>
        <s v="CTN2758402701" u="1"/>
        <s v="CTN3229905401" u="1"/>
        <s v="CTN1705856304" u="1"/>
        <s v="CTN3065558001" u="1"/>
        <s v="CTN3513694001" u="1"/>
        <s v="TRS3569021401" u="1"/>
        <s v="CTN1729197301" u="1"/>
        <s v="CTN2004747701" u="1"/>
        <s v="TRS3327817801" u="1"/>
        <s v="CTN2948169601" u="1"/>
        <s v="CTN5702330303" u="1"/>
        <s v="CTN5793580101" u="1"/>
        <s v="CTN2994670901" u="1"/>
        <s v="CTN5783715005" u="1"/>
        <s v="CTN1977771001" u="1"/>
        <s v="CTN2005675406" u="1"/>
        <s v="CTN3087660501" u="1"/>
        <s v="CTN1979994803" u="1"/>
        <s v="CTN3107818901" u="1"/>
        <s v="CTN1699160101" u="1"/>
        <s v="CTN1968506111" u="1"/>
        <s v="CTN1714621905" u="1"/>
        <s v="CTN3138247501" u="1"/>
        <s v="CTN3308490301" u="1"/>
        <s v="CTN1967883602" u="1"/>
        <s v="CTN1687086902" u="1"/>
        <s v="CTN1971854001" u="1"/>
        <s v="TRS2935317101" u="1"/>
        <s v="TRS3225680001" u="1"/>
        <s v="CTN2009518104" u="1"/>
        <s v="CTN3068661801" u="1"/>
        <s v="CTN2007927906" u="1"/>
        <s v="CTN3045745401" u="1"/>
        <s v="CTN3105835301" u="1"/>
        <s v="TRS2935317201" u="1"/>
        <s v="TRS3225680101" u="1"/>
        <s v="CTN1701467501" u="1"/>
        <s v="CTN3327386201" u="1"/>
        <s v="CTN3137181401" u="1"/>
        <s v="CTN3068661901" u="1"/>
        <s v="CTN3308210801" u="1"/>
        <s v="TRS2935317301" u="1"/>
        <s v="TRS3225680201" u="1"/>
        <s v="CTN2001950301" u="1"/>
        <s v="CTN3137433701" u="1"/>
        <s v="CTN1714944507" u="1"/>
        <s v="CTN2995052001" u="1"/>
        <s v="CTN3155180601" u="1"/>
        <s v="TRS2935317401" u="1"/>
        <s v="TRS3062837301" u="1"/>
        <s v="CTN3226819001" u="1"/>
        <s v="TRS3162673001" u="1"/>
        <s v="CTN1980536201" u="1"/>
        <s v="CTN3298601101" u="1"/>
        <s v="CTN1688169702" u="1"/>
        <s v="CTN3210167501" u="1"/>
        <s v="TRS2935317501" u="1"/>
        <s v="CTN2001950501" u="1"/>
        <s v="TRS3062837401" u="1"/>
        <s v="CTN1983135509" u="1"/>
        <s v="TRS3162673101" u="1"/>
        <s v="CTN1987925604" u="1"/>
        <s v="CTN1715847302" u="1"/>
        <s v="TRS2935317601" u="1"/>
        <s v="CTN3153515601" u="1"/>
        <s v="TRS3062837501" u="1"/>
        <s v="CTN1653039702" u="1"/>
        <s v="CTN3104918201" u="1"/>
        <s v="CTN3340906401" u="1"/>
        <s v="TRS3162673201" u="1"/>
        <s v="TRS3074267001" u="1"/>
        <s v="CTN1702736101" u="1"/>
        <s v="CTN1968517002" u="1"/>
        <s v="CTN2004369103" u="1"/>
        <s v="TRS3146142001" u="1"/>
        <s v="CTN3210167701" u="1"/>
        <s v="CTN1709719801" u="1"/>
        <s v="TRS2935317701" u="1"/>
        <s v="TRS3062837601" u="1"/>
        <s v="CTN3077360201" u="1"/>
        <s v="TRS3162673301" u="1"/>
        <s v="TRS3146142101" u="1"/>
        <s v="CTN3056175501" u="1"/>
        <s v="CTN3105835901" u="1"/>
        <s v="TRS3062837701" u="1"/>
        <s v="CTN1721652901" u="1"/>
        <s v="CTN3105583701" u="1"/>
        <s v="CTN1692935607" u="1"/>
        <s v="TRS3146142201" u="1"/>
        <s v="TRS3062837801" u="1"/>
        <s v="CTN1713521315" u="1"/>
        <s v="CTN1698995404" u="1"/>
        <s v="CTN1995115802" u="1"/>
        <s v="CTN3348906301" u="1"/>
        <s v="CTN1656308102" u="1"/>
        <s v="TRS3146142301" u="1"/>
        <s v="CTN3095891601" u="1"/>
        <s v="TRS3225680901" u="1"/>
        <s v="CTN1989407908" u="1"/>
        <s v="CTN3341468701" u="1"/>
        <s v="TRS3062837901" u="1"/>
        <s v="CTN1983470201" u="1"/>
        <s v="CTN2000189712" u="1"/>
        <s v="TRS3146142401" u="1"/>
        <s v="CTN3125917601" u="1"/>
        <s v="CTN3113983701" u="1"/>
        <s v="TRS3146142501" u="1"/>
        <s v="AFCTN3223574201" u="1"/>
        <s v="CTN5869435401" u="1"/>
        <s v="CTN2005023403" u="1"/>
        <s v="CTN1982367101" u="1"/>
        <s v="CTN1968471201" u="1"/>
        <s v="CTN1973219701" u="1"/>
        <s v="AFCTN3222560801" u="1"/>
        <s v="CTN1973230707" u="1"/>
        <s v="CTN3139095001" u="1"/>
        <s v="TRS3146142701" u="1"/>
        <s v="CTN2939856101" u="1"/>
        <s v="CTN1699752003" u="1"/>
        <s v="CTN4815772801" u="1"/>
        <s v="CTN1988516802" u="1"/>
        <s v="TRS3146142801" u="1"/>
        <s v="CTN1703716902" u="1"/>
        <s v="CTN1997404501" u="1"/>
        <s v="TRS3115012501" u="1"/>
        <s v="TRS3296256801" u="1"/>
        <s v="TRS3146142901" u="1"/>
        <s v="CTN1691889005" u="1"/>
        <s v="CTN1981819505" u="1"/>
        <s v="CTN5869435801" u="1"/>
        <s v="CTN1997404601" u="1"/>
        <s v="CTN1964451802" u="1"/>
        <s v="CTN3152177101" u="1"/>
        <s v="CTN3056192401" u="1"/>
        <s v="CTN1977871301" u="1"/>
        <s v="TRS3027138501" u="1"/>
        <s v="CTN1975153601" u="1"/>
        <s v="CTN5706470601" u="1"/>
        <s v="CTN2008077805" u="1"/>
        <s v="TRS3027138601" u="1"/>
        <s v="CTN3059976701" u="1"/>
        <s v="CTN1991870801" u="1"/>
        <s v="CTN1967554301" u="1"/>
        <s v="CTN3213267201" u="1"/>
        <s v="CTN1714967101" u="1"/>
        <s v="CTN3326738601" u="1"/>
        <s v="CTN3074088401" u="1"/>
        <s v="CTN1969774104" u="1"/>
        <s v="TRS3027138801" u="1"/>
        <s v="CTN1987327603" u="1"/>
        <s v="CTN1701249509" u="1"/>
        <s v="CTN1705630903" u="1"/>
        <s v="CTN3315169301" u="1"/>
        <s v="CTN1966994107" u="1"/>
        <s v="TRS3064219401" u="1"/>
        <s v="CTN3121150501" u="1"/>
        <s v="CTN1942555701" u="1"/>
        <s v="TRS3225677001" u="1"/>
        <s v="CTN1691912909" u="1"/>
        <s v="CTN1970350006" u="1"/>
        <s v="CTN1715844803" u="1"/>
        <s v="CTN1721649201" u="1"/>
        <s v="CTN5912943201" u="1"/>
        <s v="TRS3064219501" u="1"/>
        <s v="CTN1688289801" u="1"/>
        <s v="CTN1694303403" u="1"/>
        <s v="TRS3225677101" u="1"/>
        <s v="CTN2004312602" u="1"/>
        <s v="CTN3213267501" u="1"/>
        <s v="CTN1719166901" u="1"/>
        <s v="CTN3210985501" u="1"/>
        <s v="CTN5788363601" u="1"/>
        <s v="CTN1694343501" u="1"/>
        <s v="TRS3225677201" u="1"/>
        <s v="CTN2993218901" u="1"/>
        <s v="CTN1713532906" u="1"/>
        <s v="CTN3298515601" u="1"/>
        <s v="CTN3170445101" u="1"/>
        <s v="CTN1982364202" u="1"/>
        <s v="TRS3225677301" u="1"/>
        <s v="CTN3213267701" u="1"/>
        <s v="CTN1996421501" u="1"/>
        <s v="TRS3225677401" u="1"/>
        <s v="CTN3323941101" u="1"/>
        <s v="CTN1975505001" u="1"/>
        <s v="CTN1973216902" u="1"/>
        <s v="CTN1960585305" u="1"/>
        <s v="CTN1964585105" u="1"/>
        <s v="CTN3170445301" u="1"/>
        <s v="TRS3225677501" u="1"/>
        <s v="CTN1685964204" u="1"/>
        <s v="CTN3287810103" u="1"/>
        <s v="CTN1983481806" u="1"/>
        <s v="CTN1989384101" u="1"/>
        <s v="CTN2015494405" u="1"/>
        <s v="CTN1702987908" u="1"/>
        <s v="CTN1973233002" u="1"/>
        <s v="CTN1970505401" u="1"/>
        <s v="CTN2992049501" u="1"/>
        <s v="TRS3225677601" u="1"/>
        <s v="CTN1709967609" u="1"/>
        <s v="CTN1934152602" u="1"/>
        <s v="CTN5883534601" u="1"/>
        <s v="CTN3077543001" u="1"/>
        <s v="CTN3133447301" u="1"/>
        <s v="CTN1983138704" u="1"/>
        <s v="CTN1999401602" u="1"/>
        <s v="TRS3100513001" u="1"/>
        <s v="CTN1722357603" u="1"/>
        <s v="TRS3225677701" u="1"/>
        <s v="CTN1981816706" u="1"/>
        <s v="CTN5783715001" u="1"/>
        <s v="CTN2005675402" u="1"/>
        <s v="CTN3409761801" u="1"/>
        <s v="CTN1999401702" u="1"/>
        <s v="CTN1704919001" u="1"/>
        <s v="TRS3100513101" u="1"/>
        <s v="TRS3225677801" u="1"/>
        <s v="CTN1694340102" u="1"/>
        <s v="CTN1698174101" u="1"/>
        <s v="TRS3100513201" u="1"/>
        <s v="TRS3225677901" u="1"/>
        <s v="CTN1718266101" u="1"/>
        <s v="CTN2007927702" u="1"/>
        <s v="CTN1999401716" u="1"/>
        <s v="CTN1709095926" u="1"/>
        <s v="TRS3105075001" u="1"/>
        <s v="CTN1973233402" u="1"/>
        <s v="CTN3348837001" u="1"/>
        <s v="CTN2007927802" u="1"/>
        <s v="CTN3006146801" u="1"/>
        <s v="CTN1691872502" u="1"/>
        <s v="CTN1995950202" u="1"/>
        <s v="CTN2001944102" u="1"/>
        <s v="CTN1695612501" u="1"/>
        <s v="CTN1975505601" u="1"/>
        <s v="CTN5681189501" u="1"/>
        <s v="TRS3105075101" u="1"/>
        <s v="CTN1973233502" u="1"/>
        <s v="AFCTN3221836601" u="1"/>
        <s v="CTN2952506001" u="1"/>
        <s v="CTN3422305906" u="1"/>
        <s v="CTN2007927902" u="1"/>
        <s v="CTN3089943001" u="1"/>
        <s v="TRS3105075201" u="1"/>
        <s v="CTN1709086504" u="1"/>
        <s v="CTN1718518601" u="1"/>
        <s v="CTN2952506101" u="1"/>
        <s v="CTN2006446005" u="1"/>
        <s v="CTN2001944302" u="1"/>
        <s v="CTN1989407204" u="1"/>
        <s v="CTN1983135305" u="1"/>
        <s v="CTN1714944503" u="1"/>
        <s v="CTN1968823901" u="1"/>
        <s v="CTN1972765802" u="1"/>
        <s v="CTN3071011901" u="1"/>
        <s v="CTN3073011801" u="1"/>
        <s v="CTN1694340602" u="1"/>
        <s v="CTN1984381102" u="1"/>
        <s v="CTN3225936401" u="1"/>
        <s v="CTN1707813003" u="1"/>
        <s v="CTN1989407304" u="1"/>
        <s v="CTN3154995001" u="1"/>
        <s v="AFCTN3214645701" u="1"/>
        <s v="CTN1984381202" u="1"/>
        <s v="CTN3064160301" u="1"/>
        <s v="CTN1983135505" u="1"/>
        <s v="CTN1710286914" u="1"/>
        <s v="CTN1984381302" u="1"/>
        <s v="CTN2945572301" u="1"/>
        <s v="CTN1995083101" u="1"/>
        <s v="CTN1983195702" u="1"/>
        <s v="CTN3065160501" u="1"/>
        <s v="CTN3170359101" u="1"/>
        <s v="CTN1967906801" u="1"/>
        <s v="CTN1984381502" u="1"/>
        <s v="CTN1692935603" u="1"/>
        <s v="CTN1996492903" u="1"/>
        <s v="CTN2945469201" u="1"/>
        <s v="CTN3005601701" u="1"/>
        <s v="CTN3071188901" u="1"/>
        <s v="CTN1989407904" u="1"/>
        <s v="CTN1690915904" u="1"/>
        <s v="CTN1967211010" u="1"/>
        <s v="CTN3305241701" u="1"/>
        <s v="CTN3095988101" u="1"/>
        <s v="CTN3138278601" u="1"/>
        <s v="CTN1710306004" u="1"/>
        <s v="CTN1966997202" u="1"/>
        <s v="CTN3304510101" u="1"/>
        <s v="CTN1987922201" u="1"/>
        <s v="CTN3149781701" u="1"/>
        <s v="CTN3305241901" u="1"/>
        <s v="CTN1716529706" u="1"/>
        <s v="CTN1981819201" u="1"/>
        <s v="CTN1977782502" u="1"/>
        <s v="CTN3100866701" u="1"/>
        <s v="CTN1979596702" u="1"/>
        <s v="CTN1677089301" u="1"/>
        <s v="CTN1996873910" u="1"/>
        <s v="CTN5686644601" u="1"/>
        <s v="CTN5734883001" u="1"/>
        <s v="CTN1979264606" u="1"/>
        <s v="CTN1972593203" u="1"/>
        <s v="CTN1981819501" u="1"/>
        <s v="CTN1699752013" u="1"/>
        <s v="CTN5755696301" u="1"/>
        <s v="CTN1694766503" u="1"/>
        <s v="CTN3011300401" u="1"/>
        <s v="CTN1708678406" u="1"/>
        <s v="CTN3006246801" u="1"/>
        <s v="CTN3062260001" u="1"/>
        <s v="CTN1713618701" u="1"/>
        <s v="CTN3305687001" u="1"/>
        <s v="CTN1960167909" u="1"/>
        <s v="CTN1981819701" u="1"/>
        <s v="CTN1967903802" u="1"/>
        <s v="CTN1967923801" u="1"/>
        <s v="CTN2008077801" u="1"/>
        <s v="CTN3302155201" u="1"/>
        <s v="CTN1965479906" u="1"/>
        <s v="CTN1989630503" u="1"/>
        <s v="CTN1981819801" u="1"/>
        <s v="CTN3130295801" u="1"/>
        <s v="CTN1987922901" u="1"/>
        <s v="CTN1961754401" u="1"/>
        <s v="CTN1692926709" u="1"/>
        <s v="CTN1698992401" u="1"/>
        <s v="TRS3072670001" u="1"/>
        <s v="CTN1974147902" u="1"/>
        <s v="CTN1984089503" u="1"/>
        <s v="CTN1691880408" u="1"/>
        <s v="CTN3229318401" u="1"/>
        <s v="CTN3229504201" u="1"/>
        <s v="CTN1701249505" u="1"/>
        <s v="CTN3305341101" u="1"/>
        <s v="TRS3072670101" u="1"/>
        <s v="CTN2008701901" u="1"/>
        <s v="CTN1691912905" u="1"/>
        <s v="CTN1939887601" u="1"/>
        <s v="CTN3185693401" u="1"/>
        <s v="CTN3229504301" u="1"/>
        <s v="TRS3072670201" u="1"/>
        <s v="CTN3048513401" u="1"/>
        <s v="CTN3175628501" u="1"/>
        <s v="CTN1996927303" u="1"/>
        <s v="CTN1995103105" u="1"/>
        <s v="CTN2004878701" u="1"/>
        <s v="TRS3072670301" u="1"/>
        <s v="CTN1970350016" u="1"/>
        <s v="CTN1721649211" u="1"/>
        <s v="CTN3026076601" u="1"/>
        <s v="CTN2008074302" u="1"/>
        <s v="CTN1701558003" u="1"/>
        <s v="TRS3072670401" u="1"/>
        <s v="CTN1972616406" u="1"/>
        <s v="CTN1980524104" u="1"/>
        <s v="TRS3072670501" u="1"/>
        <s v="CTN3213121301" u="1"/>
        <s v="CTN3308873401" u="1"/>
        <s v="CTN1963754901" u="1"/>
        <s v="CTN1713532916" u="1"/>
        <s v="CTN3307407901" u="1"/>
        <s v="TRS3072670601" u="1"/>
        <s v="CTN3213121401" u="1"/>
        <s v="CTN1960585301" u="1"/>
        <s v="CTN1964585101" u="1"/>
        <s v="CTN3121779501" u="1"/>
        <s v="CTN3508145701" u="1"/>
        <s v="CTN1999397109" u="1"/>
        <s v="CTN1967236805" u="1"/>
        <s v="CTN1983481802" u="1"/>
        <s v="TRS3072670701" u="1"/>
        <s v="CTN3105966201" u="1"/>
        <s v="CTN3281864501" u="1"/>
        <s v="TRS3072670801" u="1"/>
        <s v="CTN2009260502" u="1"/>
        <s v="CTN1977928803" u="1"/>
        <s v="CTN1994266101" u="1"/>
        <s v="CTN3004532201" u="1"/>
        <s v="CTN1981816702" u="1"/>
        <s v="CTN1702987918" u="1"/>
        <s v="CTN1974842604" u="1"/>
        <s v="CTN1699783503" u="1"/>
        <s v="CTN1701558603" u="1"/>
        <s v="CTN3185430401" u="1"/>
        <s v="CTN1995103805" u="1"/>
        <s v="CTN1980358903" u="1"/>
        <s v="TRS3147788701" u="1"/>
        <s v="CTN1974144903" u="1"/>
        <s v="CTN1715835705" u="1"/>
        <s v="CTN1984607004" u="1"/>
        <s v="TRS3147788801" u="1"/>
        <s v="CTN3508414401" u="1"/>
        <s v="CTN3077025401" u="1"/>
        <s v="CTN1714621911" u="1"/>
        <s v="CTN1994692103" u="1"/>
        <s v="TRS3147788901" u="1"/>
        <s v="CTN3422305902" u="1"/>
        <s v="CTN2000194001" u="1"/>
        <s v="CTN1994329002" u="1"/>
        <s v="CTN2006446001" u="1"/>
        <s v="CTN3219922101" u="1"/>
        <s v="CTN5923573701" u="1"/>
        <s v="CTN3148964701" u="1"/>
        <s v="CTN1701252801" u="1"/>
        <s v="CTN1981833302" u="1"/>
        <s v="CTN1987667201" u="1"/>
        <s v="CTN3161514501" u="1"/>
        <s v="CTN1987321001" u="1"/>
        <s v="CTN2945223901" u="1"/>
        <s v="CTN1994329202" u="1"/>
        <s v="AFCTN3214645301" u="1"/>
        <s v="CTN1690185102" u="1"/>
        <s v="CTN1979985401" u="1"/>
        <s v="CTN1987667301" u="1"/>
        <s v="CTN5679175501" u="1"/>
        <s v="CTN1987321101" u="1"/>
        <s v="CTN1952537201" u="1"/>
        <s v="CTN1984135501" u="1"/>
        <s v="CTN1981853501" u="1"/>
        <s v="CTN1689692801" u="1"/>
        <s v="CTN2947772001" u="1"/>
        <s v="TRS3059222701" u="1"/>
        <s v="CTN1967213807" u="1"/>
        <s v="CTN3349170701" u="1"/>
        <s v="CTN3229418501" u="1"/>
        <s v="CTN1667244401" u="1"/>
        <s v="CTN1987321301" u="1"/>
        <s v="CTN1994692703" u="1"/>
        <s v="CTN1688297403" u="1"/>
        <s v="CTN1987925610" u="1"/>
        <s v="CTN1968522205" u="1"/>
        <s v="CTN1970464206" u="1"/>
        <s v="CTN3045959901" u="1"/>
        <s v="CTN2009360102" u="1"/>
        <s v="CTN1720574703" u="1"/>
        <s v="CTN3347868001" u="1"/>
        <s v="CTN1981833902" u="1"/>
        <s v="CTN1969596306" u="1"/>
        <s v="CTN2001686803" u="1"/>
        <s v="CTN3313841201" u="1"/>
        <s v="CTN1721554704" u="1"/>
        <s v="CTN1718257203" u="1"/>
        <s v="CTN3328068801" u="1"/>
        <s v="CTN2015734108" u="1"/>
        <s v="CTN3046893701" u="1"/>
        <s v="CTN3292646101" u="1"/>
        <s v="CTN1702884001" u="1"/>
        <s v="CTN1986684001" u="1"/>
        <s v="CTN1690228204" u="1"/>
        <s v="CTN1970347102" u="1"/>
        <s v="CTN1982366009" u="1"/>
        <s v="CTN3301524301" u="1"/>
        <s v="CTN5767401001" u="1"/>
        <s v="CTN1999263302" u="1"/>
        <s v="CTN3088508501" u="1"/>
        <s v="CTN1716529702" u="1"/>
        <s v="TRS3104292101" u="1"/>
        <s v="CTN1977902306" u="1"/>
        <s v="CTN3221621301" u="1"/>
        <s v="CTN2004915205" u="1"/>
        <s v="TRS3104292201" u="1"/>
        <s v="CTN1997438210" u="1"/>
        <s v="CTN2015076605" u="1"/>
        <s v="CTN1966851102" u="1"/>
        <s v="TRS3104292301" u="1"/>
        <s v="CTN1979996406" u="1"/>
        <s v="CTN1995935609" u="1"/>
        <s v="CTN3063789801" u="1"/>
        <s v="CTN1984152401" u="1"/>
        <s v="TRS3295590001" u="1"/>
        <s v="CTN1989404401" u="1"/>
        <s v="CTN5779177001" u="1"/>
        <s v="CTN1979264602" u="1"/>
        <s v="CTN1999263602" u="1"/>
        <s v="CTN3228967401" u="1"/>
        <s v="CTN3407360001" u="1"/>
        <s v="CTN1970347502" u="1"/>
        <s v="CTN1996423608" u="1"/>
        <s v="CTN3082442701" u="1"/>
        <s v="TRS3104292401" u="1"/>
        <s v="CTN3149981901" u="1"/>
        <s v="TRS3295590101" u="1"/>
        <s v="CTN1708678402" u="1"/>
        <s v="TRS3104292501" u="1"/>
        <s v="TRS3567418201" u="1"/>
        <s v="TRS3295590201" u="1"/>
        <s v="TRS3104292601" u="1"/>
        <s v="CTN1960167905" u="1"/>
        <s v="CTN3208184401" u="1"/>
        <s v="CTN1965479902" u="1"/>
        <s v="CTN3347336801" u="1"/>
        <s v="CTN3064975901" u="1"/>
        <s v="CTN3221452001" u="1"/>
        <s v="TRS3104292701" u="1"/>
        <s v="CTN1987916902" u="1"/>
        <s v="CTN3043630801" u="1"/>
        <s v="CTN1692926705" u="1"/>
        <s v="CTN1691880404" u="1"/>
        <s v="CTN1701249501" u="1"/>
        <s v="CTN1967236201" u="1"/>
        <s v="CTN2004995901" u="1"/>
        <s v="CTN3289160602" u="1"/>
        <s v="CTN1690880504" u="1"/>
        <s v="CTN1986684901" u="1"/>
        <s v="CTN3100365401" u="1"/>
        <s v="CTN3326168301" u="1"/>
        <s v="CTN5755802601" u="1"/>
        <s v="CTN6055475701" u="1"/>
        <s v="CTN1974839904" u="1"/>
        <s v="CTN1994409303" u="1"/>
        <s v="CTN2001952204" u="1"/>
        <s v="CTN1709249301" u="1"/>
        <s v="CTN1688303303" u="1"/>
        <s v="CTN3100365601" u="1"/>
        <s v="CTN3326168501" u="1"/>
        <s v="TRS3075404401" u="1"/>
        <s v="CTN5679358101" u="1"/>
        <s v="CTN5669261705" u="1"/>
        <s v="CTN3228984201" u="1"/>
        <s v="CTN1996449401" u="1"/>
        <s v="TRS3075404501" u="1"/>
        <s v="CTN1987318001" u="1"/>
        <s v="CTN2013600101" u="1"/>
        <s v="CTN3050489701" u="1"/>
        <s v="CTN1980504201" u="1"/>
        <s v="CTN1690211501" u="1"/>
        <s v="TRS3075404601" u="1"/>
        <s v="CTN1713532912" u="1"/>
        <s v="CTN1692923306" u="1"/>
        <s v="TRS2947696701" u="1"/>
        <s v="CTN1999689303" u="1"/>
        <s v="CTN2948340301" u="1"/>
        <s v="TRS3075404701" u="1"/>
        <s v="CTN3155680901" u="1"/>
        <s v="CTN1967236801" u="1"/>
        <s v="CTN3091038201" u="1"/>
        <s v="CTN1690963504" u="1"/>
        <s v="CTN3228984501" u="1"/>
        <s v="CTN2950740401" u="1"/>
        <s v="CTN3076208801" u="1"/>
        <s v="TRS2991814901" u="1"/>
        <s v="CTN1709967601" u="1"/>
        <s v="CTN1987953701" u="1"/>
        <s v="CTN2948340401" u="1"/>
        <s v="CTN3156231301" u="1"/>
        <s v="TRS3075404801" u="1"/>
        <s v="CTN1695537702" u="1"/>
        <s v="CTN3229266701" u="1"/>
        <s v="CTN1729196405" u="1"/>
        <s v="CTN1968496702" u="1"/>
        <s v="CTN1978178502" u="1"/>
        <s v="CTN3069609401" u="1"/>
        <s v="TRS3075404901" u="1"/>
        <s v="CTN1686091701" u="1"/>
        <s v="CTN3081439001" u="1"/>
        <s v="CTN3301438501" u="1"/>
        <s v="CTN3305438301" u="1"/>
        <s v="AFCTN3232108601" u="1"/>
        <s v="CTN2007234704" u="1"/>
        <s v="CTN2016880201" u="1"/>
        <s v="CTN3228097101" u="1"/>
        <s v="CTN1995103801" u="1"/>
        <s v="CTN2004889402" u="1"/>
        <s v="CTN1706518401" u="1"/>
        <s v="CTN2008732801" u="1"/>
        <s v="CTN1981816712" u="1"/>
        <s v="CTN1977876603" u="1"/>
        <s v="TRS3137139301" u="1"/>
        <s v="CTN1681426801" u="1"/>
        <s v="CTN1694903707" u="1"/>
        <s v="CTN3212853801" u="1"/>
        <s v="TRS3219946001" u="1"/>
        <s v="TRS3576051001" u="1"/>
        <s v="CTN1688154302" u="1"/>
        <s v="TRS3137139401" u="1"/>
        <s v="TRS3301279101" u="1"/>
        <s v="CTN1695485706" u="1"/>
        <s v="CTN1977524508" u="1"/>
        <s v="CTN1987412107" u="1"/>
        <s v="TRS3576051101" u="1"/>
        <s v="TRS3137139501" u="1"/>
        <s v="TRS3301279201" u="1"/>
        <s v="CTN1697108501" u="1"/>
        <s v="TRS3219946201" u="1"/>
        <s v="CTN1977896902" u="1"/>
        <s v="CTN3065626101" u="1"/>
        <s v="TRS3137139601" u="1"/>
        <s v="TRS3301279301" u="1"/>
        <s v="CTN1999466201" u="1"/>
        <s v="CTN3422305912" u="1"/>
        <s v="TRS3219946301" u="1"/>
        <s v="CTN1688300404" u="1"/>
        <s v="CTN1971647506" u="1"/>
        <s v="TRS3137139701" u="1"/>
        <s v="TRS3301279401" u="1"/>
        <s v="CTN1977544807" u="1"/>
        <s v="CTN1988504801" u="1"/>
        <s v="CTN3130781401" u="1"/>
        <s v="TRS3219946401" u="1"/>
        <s v="CTN3348267001" u="1"/>
        <s v="CTN3228097701" u="1"/>
        <s v="CTN1963971701" u="1"/>
        <s v="CTN3165714201" u="1"/>
        <s v="TRS3137139801" u="1"/>
        <s v="TRS3301279501" u="1"/>
        <s v="CTN1690877004" u="1"/>
        <s v="CTN3326454001" u="1"/>
        <s v="CTN2004374002" u="1"/>
        <s v="CTN1709964502" u="1"/>
        <s v="TRS3137139901" u="1"/>
        <s v="TRS3301279601" u="1"/>
        <s v="CTN1967213803" u="1"/>
        <s v="CTN1690920507" u="1"/>
        <s v="CTN1968522001" u="1"/>
        <s v="CTN3004563101" u="1"/>
        <s v="CTN3090410901" u="1"/>
        <s v="CTN5785863201" u="1"/>
        <s v="CTN3178061401" u="1"/>
        <s v="TRS3301279701" u="1"/>
        <s v="CTN1969596002" u="1"/>
        <s v="CTN1968828303" u="1"/>
        <s v="CTN3104997301" u="1"/>
        <s v="CTN1690179403" u="1"/>
        <s v="CTN1968522101" u="1"/>
        <s v="CTN2010691602" u="1"/>
        <s v="CTN3004563201" u="1"/>
        <s v="CTN3214404801" u="1"/>
        <s v="CTN2008079808" u="1"/>
        <s v="CTN3123996401" u="1"/>
        <s v="TRS3301279801" u="1"/>
        <s v="CTN1989595102" u="1"/>
        <s v="CTN3295680601" u="1"/>
        <s v="CTN1699159004" u="1"/>
        <s v="CTN3304707601" u="1"/>
        <s v="CTN1968522201" u="1"/>
        <s v="TRS3301279901" u="1"/>
        <s v="CTN1705701202" u="1"/>
        <s v="CTN2007334204" u="1"/>
        <s v="CTN1968522301" u="1"/>
        <s v="CTN3169994301" u="1"/>
        <s v="CTN2948171901" u="1"/>
        <s v="TRS3151238001" u="1"/>
        <s v="CTN1969596302" u="1"/>
        <s v="CTN1971650102" u="1"/>
        <s v="CTN1983521601" u="1"/>
        <s v="CTN3304707801" u="1"/>
        <s v="CTN2015734104" u="1"/>
        <s v="CTN1971650202" u="1"/>
        <s v="CTN1949231203" u="1"/>
        <s v="CTN3208805601" u="1"/>
        <s v="CTN1982366005" u="1"/>
        <s v="CTN3127464601" u="1"/>
        <s v="TRS2752757001" u="1"/>
        <s v="CTN1989223308" u="1"/>
        <s v="CTN3066643001" u="1"/>
        <s v="CTN3324448806" u="1"/>
        <s v="CTN3066560601" u="1"/>
        <s v="CTN1967868901" u="1"/>
        <s v="CTN3348098001" u="1"/>
        <s v="CTN1977902302" u="1"/>
        <s v="CTN3064709601" u="1"/>
        <s v="CTN5717203301" u="1"/>
        <s v="CTN2004915201" u="1"/>
        <s v="CTN1692448103" u="1"/>
        <s v="CTN1982366205" u="1"/>
        <s v="CTN3138146501" u="1"/>
        <s v="CTN1688151603" u="1"/>
        <s v="CTN1967885001" u="1"/>
        <s v="CTN1698994908" u="1"/>
        <s v="CTN1709097701" u="1"/>
        <s v="CTN2015076601" u="1"/>
        <s v="CTN1692448203" u="1"/>
        <s v="CTN5726603101" u="1"/>
        <s v="CTN1979996402" u="1"/>
        <s v="CTN1995935605" u="1"/>
        <s v="CTN3226197201" u="1"/>
        <s v="CTN2005677105" u="1"/>
        <s v="TRS3107492001" u="1"/>
        <s v="CTN1989243607" u="1"/>
        <s v="CTN3227020801" u="1"/>
        <s v="CTN1974298901" u="1"/>
        <s v="CTN3065709801" u="1"/>
        <s v="TRS3107492101" u="1"/>
        <s v="CTN1709097901" u="1"/>
        <s v="CTN1960865602" u="1"/>
        <s v="CTN1996921701" u="1"/>
        <s v="CTN3069709701" u="1"/>
        <s v="TRS3107492201" u="1"/>
        <s v="CTN1692448503" u="1"/>
        <s v="CTN3094790001" u="1"/>
        <s v="CTN3298500001" u="1"/>
        <s v="CTN1960167901" u="1"/>
        <s v="CTN3019963601" u="1"/>
        <s v="TRS3107492301" u="1"/>
        <s v="CTN2008729701" u="1"/>
        <s v="CTN3066643601" u="1"/>
        <s v="CTN3074791101" u="1"/>
        <s v="CTN3137080601" u="1"/>
        <s v="CTN1664069902" u="1"/>
        <s v="CTN3080390701" u="1"/>
        <s v="TRS3107492401" u="1"/>
        <s v="TRS3046465002" u="1"/>
        <s v="CTN3138229501" u="1"/>
        <s v="TRS3048122701" u="1"/>
        <s v="CTN3165814101" u="1"/>
        <s v="TRS3107492501" u="1"/>
        <s v="CTN2011771203" u="1"/>
        <s v="CTN3172227901" u="1"/>
        <s v="TRS3048122801" u="1"/>
        <s v="CTN1690225101" u="1"/>
        <s v="CTN1962144103" u="1"/>
        <s v="CTN1977870705" u="1"/>
        <s v="TRS3107492601" u="1"/>
        <s v="CTN1689454506" u="1"/>
        <s v="TRS3048122901" u="1"/>
        <s v="TRS3107492701" u="1"/>
        <s v="CTN1999474107" u="1"/>
        <s v="CTN3099510401" u="1"/>
        <s v="CTN3226821801" u="1"/>
        <s v="CTN2007926006" u="1"/>
        <s v="CTN3229904101" u="1"/>
        <s v="TRS3107492801" u="1"/>
        <s v="CTN5669075901" u="1"/>
        <s v="CTN5669261701" u="1"/>
        <s v="TRS3027140101" u="1"/>
        <s v="CTN1964436501" u="1"/>
        <s v="CTN1720542107" u="1"/>
        <s v="CTN1982363206" u="1"/>
        <s v="TRS3107492901" u="1"/>
        <s v="TRS3027140201" u="1"/>
        <s v="CTN1708689203" u="1"/>
        <s v="CTN3298500701" u="1"/>
        <s v="CTN1714099004" u="1"/>
        <s v="CTN1977913507" u="1"/>
        <s v="CTN1987675303" u="1"/>
        <s v="CTN3019980301" u="1"/>
        <s v="CTN1989592803" u="1"/>
        <s v="CTN5669261715" u="1"/>
        <s v="CTN1711503201" u="1"/>
        <s v="CTN1692923302" u="1"/>
        <s v="CTN1692439309" u="1"/>
        <s v="CTN3080742001" u="1"/>
        <s v="TRS5791738001" u="1"/>
        <s v="CTN5870202401" u="1"/>
        <s v="CTN3165814701" u="1"/>
        <s v="CTN3080742101" u="1"/>
        <s v="CTN3229120201" u="1"/>
        <s v="CTN1713532922" u="1"/>
        <s v="CTN1965370401" u="1"/>
        <s v="CTN3308555501" u="1"/>
        <s v="CTN1974304501" u="1"/>
        <s v="CTN3011428001" u="1"/>
        <s v="CTN1702987910" u="1"/>
        <s v="CTN1964453001" u="1"/>
        <s v="CTN3407989801" u="1"/>
        <s v="CTN1695411501" u="1"/>
        <s v="CTN3137432301" u="1"/>
        <s v="CTN1963184901" u="1"/>
        <s v="CTN2758950101" u="1"/>
        <s v="TRS3064221301" u="1"/>
        <s v="CTN3758401301" u="1"/>
        <s v="CTN1702987924" u="1"/>
        <s v="CTN3011428201" u="1"/>
        <s v="CTN1701466301" u="1"/>
        <s v="CTN3137432401" u="1"/>
        <s v="CTN1694903703" u="1"/>
        <s v="CTN3072874801" u="1"/>
        <s v="CTN3080742501" u="1"/>
        <s v="TRS3064221401" u="1"/>
        <s v="CTN2006265004" u="1"/>
        <s v="CTN3226203201" u="1"/>
        <s v="CTN3095424101" u="1"/>
        <s v="CTN1987412103" u="1"/>
        <s v="CTN1995103811" u="1"/>
        <s v="CTN3068660801" u="1"/>
        <s v="CTN1982452401" u="1"/>
        <s v="CTN2016259101" u="1"/>
        <s v="CTN1695943801" u="1"/>
        <s v="CTN2002285303" u="1"/>
        <s v="CTN1694903717" u="1"/>
        <s v="CTN3080742701" u="1"/>
        <s v="CTN3104834401" u="1"/>
        <s v="CTN1987924304" u="1"/>
        <s v="CTN1989881802" u="1"/>
        <s v="CTN3297751408" u="1"/>
        <s v="CTN1987412117" u="1"/>
        <s v="CTN2009517304" u="1"/>
        <s v="CTN3295600101" u="1"/>
        <s v="TRS3062836201" u="1"/>
        <s v="CTN1709406204" u="1"/>
        <s v="CTN3317237901" u="1"/>
        <s v="CTN1973135301" u="1"/>
        <s v="CTN3104834501" u="1"/>
        <s v="CTN3226203501" u="1"/>
        <s v="CTN3095890001" u="1"/>
        <s v="TRS3062836301" u="1"/>
        <s v="CTN3327385401" u="1"/>
        <s v="CTN1687096307" u="1"/>
        <s v="CTN3110996205" u="1"/>
        <s v="TRS3576065401" u="1"/>
        <s v="CTN3328199601" u="1"/>
        <s v="TRS3015810201" u="1"/>
        <s v="CTN3311786401" u="1"/>
        <s v="TRS3062836401" u="1"/>
        <s v="CTN1706998601" u="1"/>
        <s v="CTN1718485508" u="1"/>
        <s v="TRS3062836501" u="1"/>
        <s v="CTN3340905401" u="1"/>
        <s v="CTN1690920503" u="1"/>
        <s v="CTN3104834801" u="1"/>
        <s v="TRS3074266001" u="1"/>
        <s v="CTN3165914201" u="1"/>
        <s v="CTN5869351501" u="1"/>
        <s v="TRS3074266101" u="1"/>
        <s v="TRS3057799001" u="1"/>
        <s v="CTN2758501301" u="1"/>
        <s v="CTN1978321301" u="1"/>
        <s v="CTN2008079804" u="1"/>
        <s v="CTN3227735901" u="1"/>
        <s v="CTN3311786701" u="1"/>
        <s v="CTN3407726901" u="1"/>
        <s v="TRS3074266201" u="1"/>
        <s v="CTN3156328901" u="1"/>
        <s v="CTN3305040701" u="1"/>
        <s v="CTN1962018505" u="1"/>
        <s v="CTN3178075601" u="1"/>
        <s v="CTN3127833901" u="1"/>
        <s v="TRS3162672501" u="1"/>
        <s v="CTN1974853701" u="1"/>
        <s v="TRS3074266301" u="1"/>
        <s v="CTN1694339205" u="1"/>
        <s v="CTN1984160903" u="1"/>
        <s v="CTN3407912901" u="1"/>
        <s v="CTN1981535701" u="1"/>
        <s v="CTN1973218401" u="1"/>
        <s v="TRS3162672601" u="1"/>
        <s v="TRS3074266401" u="1"/>
        <s v="CTN1715846802" u="1"/>
        <s v="CTN1981535801" u="1"/>
        <s v="CTN3127478501" u="1"/>
        <s v="CTN3223752401" u="1"/>
        <s v="CTN2989266401" u="1"/>
        <s v="TRS3162672701" u="1"/>
        <s v="TRS3074266501" u="1"/>
        <s v="TRS3214631101" u="1"/>
        <s v="CTN1982366001" u="1"/>
        <s v="TRS3146141501" u="1"/>
        <s v="CTN1964450302" u="1"/>
        <s v="CTN1977781406" u="1"/>
        <s v="CTN3107665401" u="1"/>
        <s v="TRS3162672801" u="1"/>
        <s v="TRS3074266601" u="1"/>
        <s v="TRS3214631201" u="1"/>
        <s v="CTN3324448802" u="1"/>
        <s v="CTN2950219001" u="1"/>
        <s v="TRS3146141601" u="1"/>
        <s v="TRS3162672901" u="1"/>
        <s v="CTN1734836108" u="1"/>
        <s v="TRS3074266701" u="1"/>
        <s v="TRS3214631301" u="1"/>
        <s v="CTN1982366015" u="1"/>
        <s v="CTN1988515702" u="1"/>
        <s v="CTN1982366201" u="1"/>
        <s v="CTN2950219101" u="1"/>
        <s v="AFCTN3229509301" u="1"/>
        <s v="CTN1698994904" u="1"/>
        <s v="CTN1967204605" u="1"/>
        <s v="CTN2001345005" u="1"/>
        <s v="CTN3130878801" u="1"/>
        <s v="AFCTN5794607301" u="1"/>
        <s v="CTN1694745308" u="1"/>
        <s v="TRS3074266801" u="1"/>
        <s v="TRS3214631401" u="1"/>
        <s v="CTN1714960607" u="1"/>
        <s v="CTN1977902312" u="1"/>
        <s v="CTN1995935601" u="1"/>
        <s v="CTN2005677101" u="1"/>
        <s v="CTN1999385008" u="1"/>
        <s v="CTN1989243603" u="1"/>
        <s v="CTN3075190301" u="1"/>
        <s v="CTN3215183301" u="1"/>
        <s v="TRS3074266901" u="1"/>
        <s v="CTN1982366401" u="1"/>
        <s v="TRS3146141901" u="1"/>
        <s v="CTN2939855301" u="1"/>
        <s v="CTN2005677201" u="1"/>
        <s v="CTN3295514001" u="1"/>
        <s v="CTN2993403001" u="1"/>
        <s v="CTN3127495001" u="1"/>
        <s v="CTN1714949801" u="1"/>
        <s v="CTN3074974701" u="1"/>
        <s v="CTN1973132602" u="1"/>
        <s v="CTN1974664602" u="1"/>
        <s v="CTN1983512303" u="1"/>
        <s v="CTN1697116003" u="1"/>
        <s v="CTN1713531306" u="1"/>
        <s v="TRS3115011701" u="1"/>
        <s v="CTN3071190701" u="1"/>
        <s v="CTN1994403901" u="1"/>
        <s v="CTN1694342001" u="1"/>
        <s v="CTN2004331201" u="1"/>
        <s v="CTN3518172906" u="1"/>
        <s v="CTN1714926003" u="1"/>
        <s v="CTN3114896001" u="1"/>
        <s v="TRS3104309101" u="1"/>
        <s v="CTN1974386608" u="1"/>
        <s v="CTN1981818805" u="1"/>
        <s v="CTN2007863201" u="1"/>
        <s v="TRS3324578001" u="1"/>
        <s v="CTN1998677706" u="1"/>
        <s v="TRS3104309201" u="1"/>
        <s v="CTN1982366801" u="1"/>
        <s v="CTN1988512303" u="1"/>
        <s v="TRS3101944801" u="1"/>
        <s v="CTN3302206801" u="1"/>
        <s v="CTN3223835701" u="1"/>
        <s v="CTN3229397401" u="1"/>
        <s v="TRS3324578101" u="1"/>
        <s v="CTN3214984101" u="1"/>
        <s v="TRS3104309301" u="1"/>
        <s v="CTN1984586604" u="1"/>
        <s v="TRS3101944901" u="1"/>
        <s v="TRS3225676001" u="1"/>
        <s v="CTN1977870701" u="1"/>
        <s v="CTN1689454502" u="1"/>
        <s v="CTN1692926711" u="1"/>
        <s v="TRS3324578201" u="1"/>
        <s v="CTN1967192907" u="1"/>
        <s v="TRS3104309401" u="1"/>
        <s v="TRS3225676101" u="1"/>
        <s v="CTN1987689003" u="1"/>
        <s v="CTN3155894301" u="1"/>
        <s v="CTN1715823904" u="1"/>
        <s v="CTN1681099402" u="1"/>
        <s v="CTN3305206901" u="1"/>
        <s v="TRS3324578301" u="1"/>
        <s v="TRS3104309501" u="1"/>
        <s v="CTN2012785403" u="1"/>
        <s v="CTN1970504001" u="1"/>
        <s v="CTN1998680002" u="1"/>
        <s v="CTN1982363102" u="1"/>
        <s v="CTN1995946406" u="1"/>
        <s v="TRS3225676201" u="1"/>
        <s v="CTN2001952110" u="1"/>
        <s v="CTN2007926002" u="1"/>
        <s v="CTN3047675001" u="1"/>
        <s v="CTN3295328901" u="1"/>
        <s v="TRS3324578401" u="1"/>
        <s v="TRS3104309601" u="1"/>
        <s v="CTN1970318301" u="1"/>
        <s v="CTN1720542103" u="1"/>
        <s v="CTN1982363202" u="1"/>
        <s v="TRS3225676301" u="1"/>
        <s v="CTN2000382004" u="1"/>
        <s v="CTN2004331801" u="1"/>
        <s v="CTN3330281306" u="1"/>
        <s v="CTN1714093906" u="1"/>
        <s v="CTN1999474117" u="1"/>
        <s v="CTN2947723801" u="1"/>
        <s v="CTN3353249201" u="1"/>
        <s v="TRS3324578501" u="1"/>
        <s v="CTN3229134001" u="1"/>
        <s v="TRS3104309701" u="1"/>
        <s v="CTN3176258101" u="1"/>
        <s v="TRS3225676401" u="1"/>
        <s v="CTN1977913503" u="1"/>
        <s v="CTN2001946501" u="1"/>
        <s v="CTN3060142501" u="1"/>
        <s v="CTN3137895501" u="1"/>
        <s v="CTN1983137504" u="1"/>
        <s v="TRS3324578601" u="1"/>
        <s v="TRS3104309801" u="1"/>
        <s v="CTN1968513903" u="1"/>
        <s v="CTN1970504301" u="1"/>
        <s v="TRS3225676501" u="1"/>
        <s v="CTN1691891001" u="1"/>
        <s v="CTN1971744103" u="1"/>
        <s v="CTN2991683901" u="1"/>
        <s v="TRS3324578701" u="1"/>
        <s v="CTN3214984701" u="1"/>
        <s v="CTN1972764102" u="1"/>
        <s v="TRS3225676601" u="1"/>
        <s v="CTN1989635401" u="1"/>
        <s v="CTN1714050209" u="1"/>
        <s v="CTN1979601406" u="1"/>
        <s v="CTN3077542001" u="1"/>
        <s v="CTN5873150001" u="1"/>
        <s v="AFCTN3227196901" u="1"/>
        <s v="CTN1970504501" u="1"/>
        <s v="CTN1963959003" u="1"/>
        <s v="TRS3225676701" u="1"/>
        <s v="TRS3523754701" u="1"/>
        <s v="TRS3114989501" u="1"/>
        <s v="CTN1679612001" u="1"/>
        <s v="CTN1719820305" u="1"/>
        <s v="CTN3311437501" u="1"/>
        <s v="CTN5755315301" u="1"/>
        <s v="CTN1686099802" u="1"/>
        <s v="TRS3225676801" u="1"/>
        <s v="TRS3114989601" u="1"/>
        <s v="CTN1987291107" u="1"/>
        <s v="CTN3076991901" u="1"/>
        <s v="CTN5674129010" u="1"/>
        <s v="CTN3076356501" u="1"/>
        <s v="CTN1984363702" u="1"/>
        <s v="TRS3225676901" u="1"/>
        <s v="CTN3053609901" u="1"/>
        <s v="AFCTN3198478601" u="1"/>
        <s v="CTN1718517401" u="1"/>
        <s v="CTN1970504801" u="1"/>
        <s v="CTN1978504401" u="1"/>
        <s v="CTN3104502001" u="1"/>
        <s v="CTN3422590601" u="1"/>
        <s v="TRS3560051301" u="1"/>
        <s v="CTN1987317709" u="1"/>
        <s v="CTN3136978601" u="1"/>
        <s v="TRS3560051401" u="1"/>
        <s v="CTN3137529001" u="1"/>
        <s v="CTN1694903713" u="1"/>
        <s v="CTN1967550602" u="1"/>
        <s v="TRS3100512501" u="1"/>
        <s v="CTN1718517601" u="1"/>
        <s v="CTN1984380002" u="1"/>
        <s v="CTN3137529101" u="1"/>
        <s v="CTN3297751404" u="1"/>
        <s v="CTN1987412113" u="1"/>
        <s v="CTN1663077404" u="1"/>
        <s v="TRS3100512601" u="1"/>
        <s v="CTN1718517701" u="1"/>
        <s v="CTN2952505201" u="1"/>
        <s v="CTN3328399301" u="1"/>
        <s v="CTN3050374201" u="1"/>
        <s v="CTN1977778606" u="1"/>
        <s v="CTN1995923508" u="1"/>
        <s v="CTN1971744903" u="1"/>
        <s v="CTN1981529102" u="1"/>
        <s v="CTN1966999501" u="1"/>
        <s v="CTN1989383901" u="1"/>
        <s v="CTN2015376801" u="1"/>
        <s v="CTN1687096303" u="1"/>
        <s v="CTN2003362905" u="1"/>
        <s v="CTN3110996201" u="1"/>
        <s v="CTN3155193701" u="1"/>
        <s v="TRS3100512701" u="1"/>
        <s v="CTN1716517901" u="1"/>
        <s v="CTN2012782604" u="1"/>
        <s v="CTN1970335401" u="1"/>
        <s v="CTN3297751418" u="1"/>
        <s v="CTN1713671504" u="1"/>
        <s v="CTN3053188401" u="1"/>
        <s v="CTN1973232902" u="1"/>
        <s v="CTN3155193801" u="1"/>
        <s v="TRS3100512801" u="1"/>
        <s v="CTN1718485504" u="1"/>
        <s v="CTN1984374307" u="1"/>
        <s v="CTN1718265701" u="1"/>
        <s v="CTN1984380302" u="1"/>
        <s v="CTN5777863001" u="1"/>
        <s v="CTN1977544813" u="1"/>
        <s v="CTN1966999701" u="1"/>
        <s v="TRS3100512901" u="1"/>
        <s v="CTN1989646406" u="1"/>
        <s v="CTN1704918901" u="1"/>
        <s v="CTN3068691401" u="1"/>
        <s v="CTN1987918805" u="1"/>
        <s v="CTN3126501601" u="1"/>
        <s v="CTN1989406704" u="1"/>
        <s v="CTN1966999901" u="1"/>
        <s v="CTN3182060901" u="1"/>
        <s v="CTN1690908809" u="1"/>
        <s v="CTN1963238304" u="1"/>
        <s v="CTN3215366501" u="1"/>
        <s v="CTN1986921001" u="1"/>
        <s v="CTN3068588201" u="1"/>
        <s v="CTN1694339201" u="1"/>
        <s v="CTN1964444103" u="1"/>
        <s v="CTN1709983909" u="1"/>
        <s v="CTN3127864001" u="1"/>
        <s v="CTN1699159010" u="1"/>
        <s v="CTN1967189807" u="1"/>
        <s v="CTN3215366601" u="1"/>
        <s v="CTN3229234001" u="1"/>
        <s v="CTN2994783601" u="1"/>
        <s v="CTN1972595702" u="1"/>
        <s v="CTN1968484001" u="1"/>
        <s v="CTN1981818001" u="1"/>
        <s v="CTN3060242501" u="1"/>
        <s v="CTN5793862701" u="1"/>
        <s v="CTN3229234101" u="1"/>
        <s v="CTN1986921201" u="1"/>
        <s v="CTN1982423404" u="1"/>
        <s v="CTN5662392301" u="1"/>
        <s v="CTN1984380902" u="1"/>
        <s v="CTN1997866801" u="1"/>
        <s v="CTN5777863601" u="1"/>
        <s v="CTN1709915102" u="1"/>
        <s v="CTN2007923903" u="1"/>
        <s v="CTN1977781402" u="1"/>
        <s v="CTN2007256106" u="1"/>
        <s v="TRS3071904601" u="1"/>
        <s v="CTN1989901202" u="1"/>
        <s v="CTN3328070001" u="1"/>
        <s v="CTN1987320905" u="1"/>
        <s v="CTN3229234301" u="1"/>
        <s v="CTN1986921401" u="1"/>
        <s v="CTN1982366011" u="1"/>
        <s v="TRS3071904701" u="1"/>
        <s v="CTN5662392501" u="1"/>
        <s v="CTN5777863801" u="1"/>
        <s v="CTN1977781416" u="1"/>
        <s v="CTN1721642503" u="1"/>
        <s v="CTN1706909507" u="1"/>
        <s v="CTN1967204601" u="1"/>
        <s v="CTN1694745304" u="1"/>
        <s v="CTN1986921501" u="1"/>
        <s v="CTN1714960603" u="1"/>
        <s v="CTN1981818401" u="1"/>
        <s v="CTN3077708601" u="1"/>
        <s v="CTN5777863901" u="1"/>
        <s v="CTN2008748408" u="1"/>
        <s v="TRS3324601001" u="1"/>
        <s v="CTN1694339801" u="1"/>
        <s v="CTN1974312303" u="1"/>
        <s v="CTN3302154001" u="1"/>
        <s v="CTN3229420401" u="1"/>
        <s v="CTN2003036903" u="1"/>
        <s v="CTN3068588901" u="1"/>
        <s v="CTN1981818601" u="1"/>
        <s v="CTN3064242901" u="1"/>
        <s v="CTN1967922701" u="1"/>
        <s v="CTN1714073203" u="1"/>
        <s v="CTN1721656807" u="1"/>
        <s v="CTN1989643407" u="1"/>
        <s v="CTN1677088601" u="1"/>
        <s v="CTN3127146901" u="1"/>
        <s v="CTN3135200401" u="1"/>
        <s v="CTN1996423610" u="1"/>
        <s v="CTN3074287001" u="1"/>
        <s v="CTN3167945201" u="1"/>
        <s v="CTN3107602001" u="1"/>
        <s v="CTN1698991301" u="1"/>
        <s v="CTN1996417901" u="1"/>
        <s v="CTN1694336102" u="1"/>
        <s v="CTN3220503501" u="1"/>
        <s v="CTN1981818801" u="1"/>
        <s v="CTN2015519103" u="1"/>
        <s v="CTN1968922901" u="1"/>
        <s v="CTN3228783001" u="1"/>
        <s v="CTN1965495106" u="1"/>
        <s v="CTN1952908304" u="1"/>
        <s v="CTN1965481102" u="1"/>
        <s v="CTN2008754903" u="1"/>
        <s v="CTN3308406401" u="1"/>
        <s v="CTN3306154301" u="1"/>
        <s v="CTN1713628106" u="1"/>
        <s v="CTN3315285801" u="1"/>
        <s v="CTN1967192903" u="1"/>
        <s v="CTN2009262901" u="1"/>
        <s v="CTN1958147902" u="1"/>
        <s v="CTN1971649309" u="1"/>
        <s v="CTN3307406601" u="1"/>
        <s v="CTN1698991701" u="1"/>
        <s v="CTN1995102105" u="1"/>
        <s v="CTN1694336502" u="1"/>
        <s v="CTN3074287501" u="1"/>
        <s v="CTN1995946402" u="1"/>
        <s v="CTN3301709204" u="1"/>
        <s v="CTN1698991801" u="1"/>
        <s v="CTN1714093902" u="1"/>
        <s v="CTN1999474113" u="1"/>
        <s v="CTN3229503601" u="1"/>
        <s v="CTN2001336007" u="1"/>
        <s v="CTN1996874107" u="1"/>
        <s v="CTN1984577006" u="1"/>
        <s v="CTN1711522208" u="1"/>
        <s v="CTN1692439301" u="1"/>
        <s v="CTN1694336802" u="1"/>
        <s v="CTN1999474127" u="1"/>
        <s v="CTN1693605102" u="1"/>
        <s v="CTN1694336902" u="1"/>
        <s v="CTN3074287901" u="1"/>
        <s v="CTN1714099010" u="1"/>
        <s v="CTN1981835601" u="1"/>
        <s v="CTN3374102001" u="1"/>
        <s v="CTN3758000401" u="1"/>
        <s v="CTN3223334401" u="1"/>
        <s v="CTN3044689601" u="1"/>
        <s v="CTN1996414802" u="1"/>
        <s v="CTN1690187401" u="1"/>
        <s v="CTN1719820301" u="1"/>
        <s v="CTN3020959101" u="1"/>
        <s v="CTN3163430401" u="1"/>
        <s v="CTN3051211201" u="1"/>
        <s v="CTN1998674603" u="1"/>
        <s v="CTN2002322403" u="1"/>
        <s v="CTN1714050219" u="1"/>
        <s v="CTN1987291103" u="1"/>
        <s v="CTN3051211301" u="1"/>
        <s v="CTN1977778202" u="1"/>
        <s v="CTN3213921101" u="1"/>
        <s v="CTN1715820701" u="1"/>
        <s v="CTN1961750502" u="1"/>
        <s v="CTN1707829702" u="1"/>
        <s v="CTN1987317705" u="1"/>
        <s v="CTN1690885602" u="1"/>
        <s v="CTN1974383905" u="1"/>
        <s v="CTN3229417001" u="1"/>
        <s v="CTN3311105701" u="1"/>
        <s v="CTN1960169404" u="1"/>
        <s v="CTN2006445001" u="1"/>
        <s v="CTN1693625801" u="1"/>
        <s v="CTN1689691501" u="1"/>
        <s v="CTN1999691003" u="1"/>
        <s v="CTN1698899406" u="1"/>
        <s v="CTN3100516501" u="1"/>
        <s v="CTN1977778602" u="1"/>
        <s v="CTN1995923504" u="1"/>
        <s v="CTN3056025701" u="1"/>
        <s v="CTN3228949301" u="1"/>
        <s v="CTN2003362901" u="1"/>
        <s v="CTN1702763902" u="1"/>
        <s v="CTN3297751414" u="1"/>
        <s v="CTN1679606702" u="1"/>
        <s v="CTN2007874802" u="1"/>
        <s v="CTN3229165101" u="1"/>
        <s v="CTN1686691901" u="1"/>
        <s v="CTN1974329302" u="1"/>
        <s v="CTN1695988201" u="1"/>
        <s v="CTN1984374303" u="1"/>
        <s v="CTN2006445301" u="1"/>
        <s v="CTN3056025901" u="1"/>
        <s v="CTN1975486704" u="1"/>
        <s v="CTN1983560203" u="1"/>
        <s v="CTN1709099904" u="1"/>
        <s v="CTN3065173401" u="1"/>
        <s v="CTN1968853201" u="1"/>
        <s v="CTN1970483005" u="1"/>
        <s v="CTN1714016201" u="1"/>
        <s v="CTN1984082205" u="1"/>
        <s v="CTN1989646402" u="1"/>
        <s v="CTN1987320301" u="1"/>
        <s v="CTN1697110001" u="1"/>
        <s v="CTN1987918801" u="1"/>
        <s v="CTN3221603801" u="1"/>
        <s v="CTN3073107701" u="1"/>
        <s v="CTN1983134801" u="1"/>
        <s v="CTN3017213901" u="1"/>
        <s v="CTN3065173601" u="1"/>
        <s v="CTN1710296401" u="1"/>
        <s v="CTN2001714101" u="1"/>
        <s v="CTN1690908805" u="1"/>
        <s v="CTN1690968802" u="1"/>
        <s v="CTN1987320501" u="1"/>
        <s v="CTN1968853501" u="1"/>
        <s v="CTN1984606904" u="1"/>
        <s v="CTN2006445701" u="1"/>
        <s v="CTN2008079810" u="1"/>
        <s v="CTN1978360507" u="1"/>
        <s v="CTN2995983301" u="1"/>
        <s v="CTN3354120301" u="1"/>
        <s v="CTN1967189803" u="1"/>
        <s v="CTN1977174807" u="1"/>
        <s v="CTN1709929002" u="1"/>
        <s v="CTN1705637004" u="1"/>
        <s v="CTN3313840301" u="1"/>
        <s v="CTN1937099501" u="1"/>
        <s v="CTN1999262202" u="1"/>
        <s v="CTN3072387901" u="1"/>
        <s v="CTN1701657303" u="1"/>
        <s v="CTN2007891502" u="1"/>
        <s v="TRS3115039201" u="1"/>
        <s v="CTN5734879801" u="1"/>
        <s v="CTN2007256102" u="1"/>
        <s v="CTN3084441301" u="1"/>
        <s v="CTN1978340808" u="1"/>
        <s v="CTN1979995206" u="1"/>
        <s v="CTN3047975201" u="1"/>
        <s v="TRS3115039301" u="1"/>
        <s v="CTN1711662406" u="1"/>
        <s v="CTN1987320901" u="1"/>
        <s v="CTN2013275409" u="1"/>
        <s v="CTN1967916402" u="1"/>
        <s v="CTN2992096201" u="1"/>
        <s v="CTN1697696703" u="1"/>
        <s v="CTN1977781412" u="1"/>
        <s v="CTN1706909503" u="1"/>
        <s v="CTN3213117301" u="1"/>
        <s v="CTN1697110701" u="1"/>
        <s v="CTN1965478602" u="1"/>
        <s v="CTN3137531309" u="1"/>
        <s v="CTN1701551205" u="1"/>
        <s v="CTN2008748404" u="1"/>
        <s v="CTN3229182101" u="1"/>
        <s v="AFCTN3200049701" u="1"/>
        <s v="CTN1973151609" u="1"/>
        <s v="CTN1970506408" u="1"/>
        <s v="AFCTN3221924501" u="1"/>
        <s v="CTN1970346602" u="1"/>
        <s v="CTN1721656803" u="1"/>
        <s v="CTN1989643403" u="1"/>
        <s v="CTN1705399408" u="1"/>
        <s v="CTN3082441901" u="1"/>
        <s v="CTN3130680301" u="1"/>
        <s v="CTN3305337901" u="1"/>
        <s v="CTN3353297601" u="1"/>
        <s v="CTN3301168301" u="1"/>
        <s v="CTN2004994701" u="1"/>
        <s v="CTN3327270401" u="1"/>
        <s v="TRS3104291701" u="1"/>
        <s v="CTN1728164601" u="1"/>
        <s v="CTN3075207101" u="1"/>
        <s v="CTN3307337901" u="1"/>
        <s v="CTN1989234001" u="1"/>
        <s v="CTN1684396203" u="1"/>
        <s v="TRS3104291801" u="1"/>
        <s v="CTN1965495102" u="1"/>
        <s v="CTN1981818811" u="1"/>
        <s v="CTN1995073603" u="1"/>
        <s v="CTN1688156401" u="1"/>
        <s v="CTN1981849101" u="1"/>
        <s v="CTN1710302101" u="1"/>
        <s v="CTN1971649305" u="1"/>
        <s v="CTN1713519808" u="1"/>
        <s v="CTN3305606501" u="1"/>
        <s v="CTN5755177901" u="1"/>
        <s v="CTN3229265201" u="1"/>
        <s v="CTN1995102101" u="1"/>
        <s v="CTN3292476401" u="1"/>
        <s v="CTN1980503001" u="1"/>
        <s v="CTN1984600206" u="1"/>
        <s v="CTN1977878902" u="1"/>
        <s v="CTN3208183901" u="1"/>
        <s v="CTN1707414302" u="1"/>
        <s v="CTN1980537104" u="1"/>
        <s v="CTN1996448401" u="1"/>
        <s v="CTN1968495302" u="1"/>
        <s v="CTN1664323602" u="1"/>
        <s v="CTN1987912403" u="1"/>
        <s v="CTN2003319903" u="1"/>
        <s v="CTN2001336003" u="1"/>
        <s v="CTN3301168901" u="1"/>
        <s v="CTN1996874103" u="1"/>
        <s v="CTN1984577002" u="1"/>
        <s v="CTN3308606601" u="1"/>
        <s v="CTN3518661601" u="1"/>
        <s v="CTN1977869108" u="1"/>
        <s v="CTN3043357201" u="1"/>
        <s v="CTN1963215902" u="1"/>
        <s v="CTN1718519908" u="1"/>
        <s v="CTN1982454804" u="1"/>
        <s v="CTN1999474123" u="1"/>
        <s v="CTN1714030102" u="1"/>
        <s v="CTN3425441601" u="1"/>
        <s v="CTN1996448701" u="1"/>
        <s v="CTN1706517101" u="1"/>
        <s v="CTN1973869508" u="1"/>
        <s v="CTN1706039103" u="1"/>
        <s v="CTN1714050201" u="1"/>
        <s v="CTN3065542101" u="1"/>
        <s v="CTN1690902607" u="1"/>
        <s v="CTN1692439311" u="1"/>
        <s v="CTN3222983901" u="1"/>
        <s v="CTN3100633301" u="1"/>
        <s v="CTN3052039301" u="1"/>
        <s v="CTN3050860701" u="1"/>
        <s v="CTN1736555307" u="1"/>
        <s v="CTN1980491303" u="1"/>
        <s v="CTN3156230601" u="1"/>
        <s v="CTN1983251401" u="1"/>
        <s v="CTN2009293801" u="1"/>
        <s v="CTN3293559601" u="1"/>
        <s v="CTN1987317701" u="1"/>
        <s v="AFCTN3221717201" u="1"/>
        <s v="CTN1967212303" u="1"/>
        <s v="CTN1983251501" u="1"/>
        <s v="CTN3223282401" u="1"/>
        <s v="CTN1962970401" u="1"/>
        <s v="CTN5726502401" u="1"/>
        <s v="TRS3219945101" u="1"/>
        <s v="TRS3138072001" u="1"/>
        <s v="CTN3308371101" u="1"/>
        <s v="CTN1987317801" u="1"/>
        <s v="CTN1983251601" u="1"/>
        <s v="CTN1984597801" u="1"/>
        <s v="TRS3219945201" u="1"/>
        <s v="CTN1698899402" u="1"/>
        <s v="CTN3091037901" u="1"/>
        <s v="TRS3219945301" u="1"/>
        <s v="CTN2002502704" u="1"/>
        <s v="CTN3020375201" u="1"/>
        <s v="CTN2948170301" u="1"/>
        <s v="TRS3301278401" u="1"/>
        <s v="CTN3301371701" u="1"/>
        <s v="CTN3297751410" u="1"/>
        <s v="CTN1677108801" u="1"/>
        <s v="CTN3321370801" u="1"/>
        <s v="CTN3226720701" u="1"/>
        <s v="TRS3219945501" u="1"/>
        <s v="CTN1977778612" u="1"/>
        <s v="CTN3020561201" u="1"/>
        <s v="CTN1963970801" u="1"/>
        <s v="CTN3127632801" u="1"/>
        <s v="CTN3305623901" u="1"/>
        <s v="TRS3053252001" u="1"/>
        <s v="CTN3065187401" u="1"/>
        <s v="CTN1978529002" u="1"/>
        <s v="CTN1984594202" u="1"/>
        <s v="TRS3219945601" u="1"/>
        <s v="CTN3214217901" u="1"/>
        <s v="CTN3326453101" u="1"/>
        <s v="TRS3138072501" u="1"/>
        <s v="CTN1984082201" u="1"/>
        <s v="TRS3219945701" u="1"/>
        <s v="CTN1968521101" u="1"/>
        <s v="TRS3576050701" u="1"/>
        <s v="CTN3154144101" u="1"/>
        <s v="CTN1709983701" u="1"/>
        <s v="CTN3158061501" u="1"/>
        <s v="CTN3165713501" u="1"/>
        <s v="CTN1987368404" u="1"/>
        <s v="CTN3327267401" u="1"/>
        <s v="CTN1697124101" u="1"/>
        <s v="CTN1967223008" u="1"/>
        <s v="TRS3219945801" u="1"/>
        <s v="CTN1968501202" u="1"/>
        <s v="CTN1968521201" u="1"/>
        <s v="TRS3576050801" u="1"/>
        <s v="CTN1989646412" u="1"/>
        <s v="CTN3055943901" u="1"/>
        <s v="CTN3285894501" u="1"/>
        <s v="CTN1688150103" u="1"/>
        <s v="CTN1709963802" u="1"/>
        <s v="CTN3065625701" u="1"/>
        <s v="TRS3301278901" u="1"/>
        <s v="CTN1711662002" u="1"/>
        <s v="CTN3229365301" u="1"/>
        <s v="CTN3059056101" u="1"/>
        <s v="TRS3219945901" u="1"/>
        <s v="CTN1968501302" u="1"/>
        <s v="TRS3576050901" u="1"/>
        <s v="CTN1709983901" u="1"/>
        <s v="CTN1970509803" u="1"/>
        <s v="CTN1968521401" u="1"/>
        <s v="CTN3004562501" u="1"/>
        <s v="CTN3065811701" u="1"/>
        <s v="CTN1987417101" u="1"/>
        <s v="CTN1987314702" u="1"/>
        <s v="CTN1979995102" u="1"/>
        <s v="CTN3352320401" u="1"/>
        <s v="CTN1987417201" u="1"/>
        <s v="CTN3127463601" u="1"/>
        <s v="CTN3348984601" u="1"/>
        <s v="CTN1968501602" u="1"/>
        <s v="CTN1995948409" u="1"/>
        <s v="CTN1979995202" u="1"/>
        <s v="CTN3080987601" u="1"/>
        <s v="CTN3291024902" u="1"/>
        <s v="CTN3058308801" u="1"/>
        <s v="CTN3080455601" u="1"/>
        <s v="CTN3324722101" u="1"/>
        <s v="CTN1968521701" u="1"/>
        <s v="CTN2016610906" u="1"/>
        <s v="CTN3166461801" u="1"/>
        <s v="CTN2948253701" u="1"/>
        <s v="CTN3305640701" u="1"/>
        <s v="CTN1994296801" u="1"/>
        <s v="CTN1990390407" u="1"/>
        <s v="CTN1689711101" u="1"/>
        <s v="CTN3064988601" u="1"/>
        <s v="CTN3137531305" u="1"/>
        <s v="CTN1701551201" u="1"/>
        <s v="CTN1714968704" u="1"/>
        <s v="CTN2001344109" u="1"/>
        <s v="CTN1686711301" u="1"/>
        <s v="CTN5668512201" u="1"/>
        <s v="CTN1977781422" u="1"/>
        <s v="CTN1979995502" u="1"/>
        <s v="CTN1995920701" u="1"/>
        <s v="CTN1987417601" u="1"/>
        <s v="CTN1706909513" u="1"/>
        <s v="CTN1942659703" u="1"/>
        <s v="CTN1995934805" u="1"/>
        <s v="CTN3156330701" u="1"/>
        <s v="CTN1987417701" u="1"/>
        <s v="CTN1705399404" u="1"/>
        <s v="CTN1979995702" u="1"/>
        <s v="CTN2000384407" u="1"/>
        <s v="CTN3516312801" u="1"/>
        <s v="CTN3105733501" u="1"/>
        <s v="CTN1979995802" u="1"/>
        <s v="TRS2752756701" u="1"/>
        <s v="CTN3066642701" u="1"/>
        <s v="CTN3074790201" u="1"/>
        <s v="CTN1690224001" u="1"/>
        <s v="TRS2752756801" u="1"/>
        <s v="CTN1988488003" u="1"/>
        <s v="CTN5726602701" u="1"/>
        <s v="TRS2749625101" u="1"/>
        <s v="CTN1714047601" u="1"/>
        <s v="CTN1979992003" u="1"/>
        <s v="CTN1999696809" u="1"/>
        <s v="CTN3347366101" u="1"/>
        <s v="TRS2752756901" u="1"/>
        <s v="CTN2008745001" u="1"/>
        <s v="CTN1691873605" u="1"/>
        <s v="CTN1967884801" u="1"/>
        <s v="CTN5779562301" u="1"/>
        <s v="TRS3107491701" u="1"/>
        <s v="AFCTN3221531601" u="1"/>
        <s v="CTN1721550901" u="1"/>
        <s v="CTN1714931402" u="1"/>
        <s v="CTN1984600202" u="1"/>
        <s v="CTN3308471601" u="1"/>
        <s v="CTN3169813201" u="1"/>
        <s v="CTN1981820205" u="1"/>
        <s v="CTN3289167907" u="1"/>
        <s v="CTN1695942001" u="1"/>
        <s v="TRS3107491901" u="1"/>
        <s v="AFCTN3210807401" u="1"/>
        <s v="TRS3138069301" u="1"/>
        <s v="CTN3328367401" u="1"/>
        <s v="CTN1718493402" u="1"/>
        <s v="TRS2749625501" u="1"/>
        <s v="CTN1695942101" u="1"/>
        <s v="CTN5783430501" u="1"/>
        <s v="CTN3151244401" u="1"/>
        <s v="CTN1714931702" u="1"/>
        <s v="CTN3080741001" u="1"/>
        <s v="TRS3138069401" u="1"/>
        <s v="CTN1698581407" u="1"/>
        <s v="TRS3513768501" u="1"/>
        <s v="CTN1715705904" u="1"/>
        <s v="CTN3219503801" u="1"/>
        <s v="CTN1984577012" u="1"/>
        <s v="TRS3138069501" u="1"/>
        <s v="TRS3553849001" u="1"/>
        <s v="CTN1973869504" u="1"/>
        <s v="CTN1681811101" u="1"/>
        <s v="CTN1705408803" u="1"/>
        <s v="CTN1711522214" u="1"/>
        <s v="CTN1721633801" u="1"/>
        <s v="CTN1975480802" u="1"/>
        <s v="CTN1690902603" u="1"/>
        <s v="CTN1960861703" u="1"/>
        <s v="TRS3138069601" u="1"/>
        <s v="CTN1973869604" u="1"/>
        <s v="CTN1999474133" u="1"/>
        <s v="CTN1686084702" u="1"/>
        <s v="CTN1714030112" u="1"/>
        <s v="CTN3065556201" u="1"/>
        <s v="CTN1698893904" u="1"/>
        <s v="CTN3308806801" u="1"/>
        <s v="TRS3138069701" u="1"/>
        <s v="CTN3758400201" u="1"/>
        <s v="CTN1714050211" u="1"/>
        <s v="CTN1989880402" u="1"/>
        <s v="CTN1707820501" u="1"/>
        <s v="CTN1701465201" u="1"/>
        <s v="TRS3138069801" u="1"/>
        <s v="TRS5791737401" u="1"/>
        <s v="CTN1973869804" u="1"/>
        <s v="CTN1978303501" u="1"/>
        <s v="CTN3758400301" u="1"/>
        <s v="TRS3138069901" u="1"/>
        <s v="TRS5791737501" u="1"/>
        <s v="CTN1974303801" u="1"/>
        <s v="CTN3004559601" u="1"/>
        <s v="CTN1695410801" u="1"/>
        <s v="CTN1701465501" u="1"/>
        <s v="CTN1973134201" u="1"/>
        <s v="CTN1679611505" u="1"/>
        <s v="CTN3011427501" u="1"/>
        <s v="CTN1962984601" u="1"/>
        <s v="TRS5791737801" u="1"/>
        <s v="CTN3758400701" u="1"/>
        <s v="CTN1970320301" u="1"/>
        <s v="CTN1960160503" u="1"/>
        <s v="CTN3347635601" u="1"/>
        <s v="CTN3011427601" u="1"/>
        <s v="CTN2951118701" u="1"/>
        <s v="TRS5791737901" u="1"/>
        <s v="CTN1964652405" u="1"/>
        <s v="CTN1971852401" u="1"/>
        <s v="CTN3311785401" u="1"/>
        <s v="CTN1714081001" u="1"/>
        <s v="CTN3137431901" u="1"/>
        <s v="CTN1995923510" u="1"/>
        <s v="CTN3758400901" u="1"/>
        <s v="CTN3172792501" u="1"/>
        <s v="TRS3074265001" u="1"/>
        <s v="CTN3297751420" u="1"/>
        <s v="CTN1713513306" u="1"/>
        <s v="CTN5682974301" u="1"/>
        <s v="TRS3074265101" u="1"/>
        <s v="CTN2004742802" u="1"/>
        <s v="CTN3524457301" u="1"/>
        <s v="CTN1996450809" u="1"/>
        <s v="TRS3146140101" u="1"/>
        <s v="CTN1961755304" u="1"/>
        <s v="CTN3225751001" u="1"/>
        <s v="CTN1967223004" u="1"/>
        <s v="TRS3074265201" u="1"/>
        <s v="CTN1996450909" u="1"/>
        <s v="CTN3292204203" u="1"/>
        <s v="TRS3146140201" u="1"/>
        <s v="CTN1695398102" u="1"/>
        <s v="CTN2013275001" u="1"/>
        <s v="CTN2988983101" u="1"/>
        <s v="TRS3074265301" u="1"/>
        <s v="TRS3146140301" u="1"/>
        <s v="CTN3125729701" u="1"/>
        <s v="CTN3137514801" u="1"/>
        <s v="CTN1967223018" u="1"/>
        <s v="CTN2013275101" u="1"/>
        <s v="CTN1974852801" u="1"/>
        <s v="TRS3074265401" u="1"/>
        <s v="CTN1689968502" u="1"/>
        <s v="CTN3158158201" u="1"/>
        <s v="TRS3146140401" u="1"/>
        <s v="CTN1688164303" u="1"/>
        <s v="CTN1987691903" u="1"/>
        <s v="CTN5682974701" u="1"/>
        <s v="CTN2013275201" u="1"/>
        <s v="TRS3074265501" u="1"/>
        <s v="CTN1660288201" u="1"/>
        <s v="TRS3146140501" u="1"/>
        <s v="TRS3027136001" u="1"/>
        <s v="CTN1989236308" u="1"/>
        <s v="CTN1974843007" u="1"/>
        <s v="CTN3066656001" u="1"/>
        <s v="TRS3074265601" u="1"/>
        <s v="CTN1995948405" u="1"/>
        <s v="TRS3146140601" u="1"/>
        <s v="CTN5779745201" u="1"/>
        <s v="TRS3027136101" u="1"/>
        <s v="CTN1999402201" u="1"/>
        <s v="CTN2013275401" u="1"/>
        <s v="CTN3137093101" u="1"/>
        <s v="TRS3074265701" u="1"/>
        <s v="TRS3057798601" u="1"/>
        <s v="CTN3152344601" u="1"/>
        <s v="CTN3178157501" u="1"/>
        <s v="TRS3146140701" u="1"/>
        <s v="CTN1677994904" u="1"/>
        <s v="CTN1699770002" u="1"/>
        <s v="CTN1714081901" u="1"/>
        <s v="CTN2008061401" u="1"/>
        <s v="TRS3027136201" u="1"/>
        <s v="CTN2003347904" u="1"/>
        <s v="CTN2989079901" u="1"/>
        <s v="CTN1963203805" u="1"/>
        <s v="CTN2013275501" u="1"/>
        <s v="TRS3074265801" u="1"/>
        <s v="TRS2751956101" u="1"/>
        <s v="TRS3057798701" u="1"/>
        <s v="TRS2944014301" u="1"/>
        <s v="CTN1969775603" u="1"/>
        <s v="CTN2001344105" u="1"/>
        <s v="CTN2013275601" u="1"/>
        <s v="CTN1686725301" u="1"/>
        <s v="CTN3166558401" u="1"/>
        <s v="TRS3074265901" u="1"/>
        <s v="CTN1980505308" u="1"/>
        <s v="CTN1988514902" u="1"/>
        <s v="CTN2016610916" u="1"/>
        <s v="TRS3057798801" u="1"/>
        <s v="CTN1967878202" u="1"/>
        <s v="CTN1973234001" u="1"/>
        <s v="CTN1973151601" u="1"/>
        <s v="TRS3057798901" u="1"/>
        <s v="CTN1694324901" u="1"/>
        <s v="CTN3298430501" u="1"/>
        <s v="CTN1995934801" u="1"/>
        <s v="CTN3106401101" u="1"/>
        <s v="CTN1969775803" u="1"/>
        <s v="CTN3137531315" u="1"/>
        <s v="CTN3047311201" u="1"/>
        <s v="CTN3217079001" u="1"/>
        <s v="CTN1975151601" u="1"/>
        <s v="CTN3137093501" u="1"/>
        <s v="TRS3104308001" u="1"/>
        <s v="CTN1968506108" u="1"/>
        <s v="TRS3560033001" u="1"/>
        <s v="CTN2000384403" u="1"/>
        <s v="CTN1999402701" u="1"/>
        <s v="CTN3129400101" u="1"/>
        <s v="TRS3104308101" u="1"/>
        <s v="CTN3106850901" u="1"/>
        <s v="TRS3327829001" u="1"/>
        <s v="TRS3560033101" u="1"/>
        <s v="CTN5674142101" u="1"/>
        <s v="CTN3089469701" u="1"/>
        <s v="CTN2947722301" u="1"/>
        <s v="CTN1994719308" u="1"/>
        <s v="CTN5775044201" u="1"/>
        <s v="TRS3324577001" u="1"/>
        <s v="CTN3068656601" u="1"/>
        <s v="TRS3104308201" u="1"/>
        <s v="TRS3327829101" u="1"/>
        <s v="TRS3560033201" u="1"/>
        <s v="CTN2996150001" u="1"/>
        <s v="CTN1987325603" u="1"/>
        <s v="CTN2939219301" u="1"/>
        <s v="CTN3080738501" u="1"/>
        <s v="TRS3324577101" u="1"/>
        <s v="CTN1995110903" u="1"/>
        <s v="CTN1998676806" u="1"/>
        <s v="TRS3104308301" u="1"/>
        <s v="CTN3130614601" u="1"/>
        <s v="TRS2751956701" u="1"/>
        <s v="TRS3327829201" u="1"/>
        <s v="TRS3225675001" u="1"/>
        <s v="CTN1999696805" u="1"/>
        <s v="CTN3137176301" u="1"/>
        <s v="TRS3324577201" u="1"/>
        <s v="TRS3104308401" u="1"/>
        <s v="CTN1713092706" u="1"/>
        <s v="CTN1690218202" u="1"/>
        <s v="CTN2014544401" u="1"/>
        <s v="CTN2950218901" u="1"/>
        <s v="TRS3560033401" u="1"/>
        <s v="TRS3225675101" u="1"/>
        <s v="CTN2939854901" u="1"/>
        <s v="CTN1981820101" u="1"/>
        <s v="TRS3324577301" u="1"/>
        <s v="TRS3104308501" u="1"/>
        <s v="TRS3327829401" u="1"/>
        <s v="TRS3560033501" u="1"/>
        <s v="CTN1984382001" u="1"/>
        <s v="TRS3225675201" u="1"/>
        <s v="CTN1981820201" u="1"/>
        <s v="CTN1695472909" u="1"/>
        <s v="CTN3289167903" u="1"/>
        <s v="TRS3324577401" u="1"/>
        <s v="CTN1958953301" u="1"/>
        <s v="CTN3345220001" u="1"/>
        <s v="CTN3348921701" u="1"/>
        <s v="TRS3104308601" u="1"/>
        <s v="TRS3327829501" u="1"/>
        <s v="CTN3074355001" u="1"/>
        <s v="TRS3560033601" u="1"/>
        <s v="CTN1989877902" u="1"/>
        <s v="TRS3225675301" u="1"/>
        <s v="CTN3407825901" u="1"/>
        <s v="CTN1699407801" u="1"/>
        <s v="CTN1989634101" u="1"/>
        <s v="CTN3161575501" u="1"/>
        <s v="CTN1713613406" u="1"/>
        <s v="CTN2939219701" u="1"/>
        <s v="TRS3324577501" u="1"/>
        <s v="TRS3104308701" u="1"/>
        <s v="CTN1968821001" u="1"/>
        <s v="TRS3327829601" u="1"/>
        <s v="TRS3225675401" u="1"/>
        <s v="CTN1707823910" u="1"/>
        <s v="CTN2007925202" u="1"/>
        <s v="CTN3177892501" u="1"/>
        <s v="CTN1969586804" u="1"/>
        <s v="CTN2009676901" u="1"/>
        <s v="CTN3289167917" u="1"/>
        <s v="TRS3324577601" u="1"/>
        <s v="TRS3104308801" u="1"/>
        <s v="CTN2012990502" u="1"/>
        <s v="TRS3327829701" u="1"/>
        <s v="CTN1698581403" u="1"/>
        <s v="CTN2002510906" u="1"/>
        <s v="TRS3225675501" u="1"/>
        <s v="CTN2939685501" u="1"/>
        <s v="CTN3311436301" u="1"/>
        <s v="CTN1989382101" u="1"/>
        <s v="TRS3324577701" u="1"/>
        <s v="CTN1994716009" u="1"/>
        <s v="CTN2007330901" u="1"/>
        <s v="TRS3104308901" u="1"/>
        <s v="CTN1719161302" u="1"/>
        <s v="CTN3100950401" u="1"/>
        <s v="TRS3327829801" u="1"/>
        <s v="TRS3225675601" u="1"/>
        <s v="TRS3324577801" u="1"/>
        <s v="CTN3076355301" u="1"/>
        <s v="TRS3225675701" u="1"/>
        <s v="CTN2989365501" u="1"/>
        <s v="CTN1995098304" u="1"/>
        <s v="CTN2007330915" u="1"/>
        <s v="TRS3324577901" u="1"/>
        <s v="CTN3348649001" u="1"/>
        <s v="CTN1973869514" u="1"/>
        <s v="CTN2014472706" u="1"/>
        <s v="TRS3225675801" u="1"/>
        <s v="CTN1987316509" u="1"/>
        <s v="CTN3373433501" u="1"/>
        <s v="CTN1966998001" u="1"/>
        <s v="CTN1968855504" u="1"/>
        <s v="CTN1963978202" u="1"/>
        <s v="TRS3225675901" u="1"/>
        <s v="CTN2939685901" u="1"/>
        <s v="CTN3151527101" u="1"/>
        <s v="CTN1983239403" u="1"/>
        <s v="TRS3068952001" u="1"/>
        <s v="CTN3074887701" u="1"/>
        <s v="CTN1709098308" u="1"/>
        <s v="CTN1718516401" u="1"/>
        <s v="CTN1988465001" u="1"/>
        <s v="CTN3106315101" u="1"/>
        <s v="CTN1987668904" u="1"/>
        <s v="CTN1989903001" u="1"/>
        <s v="CTN1977783301" u="1"/>
        <s v="CTN2989365801" u="1"/>
        <s v="CTN3311436801" u="1"/>
        <s v="TRS3068952101" u="1"/>
        <s v="CTN3074887801" u="1"/>
        <s v="CTN3155192401" u="1"/>
        <s v="CTN1694890401" u="1"/>
        <s v="CTN1986685004" u="1"/>
        <s v="CTN2016627701" u="1"/>
        <s v="CTN1996490203" u="1"/>
        <s v="TRS3013823001" u="1"/>
        <s v="CTN1977783401" u="1"/>
        <s v="CTN3101950901" u="1"/>
        <s v="CTN5681187601" u="1"/>
        <s v="TRS3068952201" u="1"/>
        <s v="CTN1692933003" u="1"/>
        <s v="CTN2980820401" u="1"/>
        <s v="CTN3311985001" u="1"/>
        <s v="CTN1965466401" u="1"/>
        <s v="TRS3068952301" u="1"/>
        <s v="CTN1689450703" u="1"/>
        <s v="CTN1692933103" u="1"/>
        <s v="CTN1995064801" u="1"/>
        <s v="CTN1967904401" u="1"/>
        <s v="CTN1991865301" u="1"/>
        <s v="TRS3068952401" u="1"/>
        <s v="CTN3215365001" u="1"/>
        <s v="CTN1714962602" u="1"/>
        <s v="CTN1964652401" u="1"/>
        <s v="TRS3039822001" u="1"/>
        <s v="CTN1707811103" u="1"/>
        <s v="TRS3068952501" u="1"/>
        <s v="CTN1966998601" u="1"/>
        <s v="CTN1714962702" u="1"/>
        <s v="CTN1715839303" u="1"/>
        <s v="CTN1960174703" u="1"/>
        <s v="CTN3353517601" u="1"/>
        <s v="TRS3068952601" u="1"/>
        <s v="CTN1966998701" u="1"/>
        <s v="CTN1997450605" u="1"/>
        <s v="CTN5775144301" u="1"/>
        <s v="CTN1705393302" u="1"/>
        <s v="CTN3050373501" u="1"/>
        <s v="TRS3560050901" u="1"/>
        <s v="CTN3137528501" u="1"/>
        <s v="CTN3161592801" u="1"/>
        <s v="TRS3068952701" u="1"/>
        <s v="CTN1963237104" u="1"/>
        <s v="CTN1714962902" u="1"/>
        <s v="CTN2010678604" u="1"/>
        <s v="CTN3328398701" u="1"/>
        <s v="CTN1974334501" u="1"/>
        <s v="CTN1996450805" u="1"/>
        <s v="CTN3326135001" u="1"/>
        <s v="CTN3229496601" u="1"/>
        <s v="CTN1717610607" u="1"/>
        <s v="CTN3065241001" u="1"/>
        <s v="CTN1974334601" u="1"/>
        <s v="CTN1996450905" u="1"/>
        <s v="CTN1715819604" u="1"/>
        <s v="CTN3099437701" u="1"/>
        <s v="CTN3223233201" u="1"/>
        <s v="CTN3522617403" u="1"/>
        <s v="TRS3149938401" u="1"/>
        <s v="CTN3214448001" u="1"/>
        <s v="CTN3281828801" u="1"/>
        <s v="CTN1695401603" u="1"/>
        <s v="CTN1967223014" u="1"/>
        <s v="CTN1980528802" u="1"/>
        <s v="TRS3149938501" u="1"/>
        <s v="CTN1972603101" u="1"/>
        <s v="CTN2002327601" u="1"/>
        <s v="CTN3169675201" u="1"/>
        <s v="CTN1979262206" u="1"/>
        <s v="CTN1980508903" u="1"/>
        <s v="CTN3068587401" u="1"/>
        <s v="TRS3149938601" u="1"/>
        <s v="CTN1972603201" u="1"/>
        <s v="CTN1968483101" u="1"/>
        <s v="CTN2014475001" u="1"/>
        <s v="TRS3015803902" u="1"/>
        <s v="CTN1970351101" u="1"/>
        <s v="CTN3209766201" u="1"/>
        <s v="CTN1989236304" u="1"/>
        <s v="AFCTN3219110701" u="1"/>
        <s v="CTN1974843003" u="1"/>
        <s v="TRS3149938701" u="1"/>
        <s v="CTN1961749805" u="1"/>
        <s v="CTN3032709701" u="1"/>
        <s v="TRS3149938801" u="1"/>
        <s v="CTN3170543501" u="1"/>
        <s v="CTN3216365901" u="1"/>
        <s v="CTN1977897005" u="1"/>
        <s v="CTN1963203801" u="1"/>
        <s v="CTN1986920501" u="1"/>
        <s v="CTN3214448501" u="1"/>
        <s v="TRS3080081201" u="1"/>
        <s v="CTN1981817401" u="1"/>
        <s v="CTN3757794101" u="1"/>
        <s v="CTN1977780702" u="1"/>
        <s v="CTN2013275411" u="1"/>
        <s v="CTN5870847801" u="1"/>
        <s v="CTN2001344101" u="1"/>
        <s v="CTN1988508903" u="1"/>
        <s v="CTN3068587801" u="1"/>
        <s v="CTN1980505304" u="1"/>
        <s v="CTN1994378309" u="1"/>
        <s v="CTN1685739401" u="1"/>
        <s v="CTN3077707701" u="1"/>
        <s v="CTN3082071101" u="1"/>
        <s v="CTN1973863502" u="1"/>
        <s v="CTN2008075701" u="1"/>
        <s v="CTN2001344115" u="1"/>
        <s v="CTN3229233701" u="1"/>
        <s v="CTN1968506104" u="1"/>
        <s v="CTN3320498501" u="1"/>
        <s v="CTN1967878212" u="1"/>
        <s v="CTN1967901802" u="1"/>
        <s v="CTN2989548301" u="1"/>
        <s v="CTN1979262906" u="1"/>
        <s v="CTN1984150805" u="1"/>
        <s v="CTN2001344501" u="1"/>
        <s v="CTN1702745402" u="1"/>
        <s v="CTN3290810906" u="1"/>
        <s v="CTN3056287201" u="1"/>
        <s v="CTN3126600301" u="1"/>
        <s v="CTN1970342007" u="1"/>
        <s v="CTN3095099501" u="1"/>
        <s v="CTN1698990701" u="1"/>
        <s v="CTN1700848201" u="1"/>
        <s v="CTN1702765701" u="1"/>
        <s v="CTN1694335502" u="1"/>
        <s v="CTN1694355501" u="1"/>
        <s v="CTN1689447703" u="1"/>
        <s v="CTN1983525903" u="1"/>
        <s v="CTN3063790601" u="1"/>
        <s v="CTN1695472905" u="1"/>
        <s v="CTN3305405801" u="1"/>
        <s v="CTN2012778504" u="1"/>
        <s v="CTN3130628901" u="1"/>
        <s v="CTN1736646205" u="1"/>
        <s v="CTN1702765901" u="1"/>
        <s v="CTN3070555101" u="1"/>
        <s v="CTN3070286901" u="1"/>
        <s v="CTN2002510802" u="1"/>
        <s v="CTN3289167913" u="1"/>
        <s v="CTN2006959301" u="1"/>
        <s v="CTN1700848501" u="1"/>
        <s v="CTN1968480502" u="1"/>
        <s v="CTN1995945702" u="1"/>
        <s v="CTN2002510902" u="1"/>
        <s v="CTN3082340301" u="1"/>
        <s v="CTN3075369201" u="1"/>
        <s v="CTN3065155401" u="1"/>
        <s v="CTN1994716005" u="1"/>
        <s v="CTN1977869110" u="1"/>
        <s v="CTN1723847501" u="1"/>
        <s v="CTN3056024001" u="1"/>
        <s v="CTN3075369301" u="1"/>
        <s v="CTN1713521308" u="1"/>
        <s v="CTN1973225103" u="1"/>
        <s v="CTN2009344901" u="1"/>
        <s v="CTN1718519910" u="1"/>
        <s v="CTN1730995101" u="1"/>
        <s v="CTN1972614806" u="1"/>
        <s v="CTN1996433801" u="1"/>
        <s v="CTN1690186401" u="1"/>
        <s v="CTN3082340501" u="1"/>
        <s v="CTN3043156701" u="1"/>
        <s v="CTN3105964401" u="1"/>
        <s v="CTN1969597205" u="1"/>
        <s v="CTN1973860703" u="1"/>
        <s v="CTN3077555201" u="1"/>
        <s v="CTN1987316505" u="1"/>
        <s v="CTN1722315801" u="1"/>
        <s v="CTN1949584301" u="1"/>
        <s v="AFCTN3229169001" u="1"/>
        <s v="CTN1709098304" u="1"/>
        <s v="CTN2009361201" u="1"/>
        <s v="CTN1702742503" u="1"/>
        <s v="CTN2014472716" u="1"/>
        <s v="CTN3304236801" u="1"/>
        <s v="CTN1989628802" u="1"/>
        <s v="CTN1988502505" u="1"/>
        <s v="CTN3304422701" u="1"/>
        <s v="CTN1978182901" u="1"/>
        <s v="CTN1989628902" u="1"/>
        <s v="CTN1692927004" u="1"/>
        <s v="CTN1996873907" u="1"/>
        <s v="CTN1983479501" u="1"/>
        <s v="CTN3096348902" u="1"/>
        <s v="CTN3005959401" u="1"/>
        <s v="CTN1697707101" u="1"/>
        <s v="CTN1689690601" u="1"/>
        <s v="CTN3311467101" u="1"/>
        <s v="CTN1701470704" u="1"/>
        <s v="CTN2009361601" u="1"/>
        <s v="CTN1718258602" u="1"/>
        <s v="CTN3410286901" u="1"/>
        <s v="CTN1971748009" u="1"/>
        <s v="CTN1979611207" u="1"/>
        <s v="CTN1995095001" u="1"/>
        <s v="CTN1996922604" u="1"/>
        <s v="TRS3139655801" u="1"/>
        <s v="CTN3167512401" u="1"/>
        <s v="CTN2015077804" u="1"/>
        <s v="CTN1964652411" u="1"/>
        <s v="CTN3160260601" u="1"/>
        <s v="CTN1977871308" u="1"/>
        <s v="TRS3137140001" u="1"/>
        <s v="CTN3166326801" u="1"/>
        <s v="CTN3216379301" u="1"/>
        <s v="CTN1968520105" u="1"/>
        <s v="CTN2000215004" u="1"/>
        <s v="CTN1989645502" u="1"/>
        <s v="TRS3137140101" u="1"/>
        <s v="CTN1970348801" u="1"/>
        <s v="CTN3012761201" u="1"/>
        <s v="CTN1943458103" u="1"/>
        <s v="CTN1989393402" u="1"/>
        <s v="CTN2007218803" u="1"/>
        <s v="CTN3063255201" u="1"/>
        <s v="TRS3137140201" u="1"/>
        <s v="AFCTN3231956101" u="1"/>
        <s v="CTN3020789401" u="1"/>
        <s v="CTN1982496201" u="1"/>
        <s v="CTN1996450815" u="1"/>
        <s v="CTN3160260901" u="1"/>
        <s v="CTN2011772206" u="1"/>
        <s v="CTN1967223010" u="1"/>
        <s v="TRS3137140301" u="1"/>
        <s v="CTN1968852601" u="1"/>
        <s v="CTN3012761401" u="1"/>
        <s v="CTN1699747513" u="1"/>
        <s v="CTN1994158002" u="1"/>
        <s v="CTN1664073101" u="1"/>
        <s v="CTN1721649208" u="1"/>
        <s v="CTN1989625803" u="1"/>
        <s v="TRS3137140401" u="1"/>
        <s v="CTN3073040601" u="1"/>
        <s v="CTN3308971501" u="1"/>
        <s v="CTN3012761501" u="1"/>
        <s v="CTN2006444901" u="1"/>
        <s v="CTN1978173907" u="1"/>
        <s v="CTN3395546101" u="1"/>
        <s v="CTN1702081801" u="1"/>
        <s v="CTN3347334201" u="1"/>
        <s v="TRS3137140501" u="1"/>
        <s v="CTN1937098601" u="1"/>
        <s v="CTN3311204101" u="1"/>
        <s v="CTN2014469102" u="1"/>
        <s v="CTN1961749801" u="1"/>
        <s v="CTN3061973501" u="1"/>
        <s v="TRS3043266701" u="1"/>
        <s v="CTN3215379901" u="1"/>
        <s v="CTN3311204201" u="1"/>
        <s v="CTN3012761701" u="1"/>
        <s v="CTN5772175201" u="1"/>
        <s v="CTN1977877002" u="1"/>
        <s v="CTN1977897001" u="1"/>
        <s v="CTN3012761801" u="1"/>
        <s v="CTN2947770901" u="1"/>
        <s v="CTN3081337301" u="1"/>
        <s v="CTN1977179301" u="1"/>
        <s v="CTN1668751203" u="1"/>
        <s v="CTN2003347910" u="1"/>
        <s v="CTN3081337401" u="1"/>
        <s v="CTN1977179401" u="1"/>
        <s v="CTN1986682501" u="1"/>
        <s v="CTN1970345602" u="1"/>
        <s v="CTN5702330306" u="1"/>
        <s v="CTN1681407501" u="1"/>
        <s v="CTN1705696601" u="1"/>
        <s v="CTN3081337501" u="1"/>
        <s v="CTN1977179501" u="1"/>
        <s v="CTN2001344111" u="1"/>
        <s v="CTN1968935701" u="1"/>
        <s v="CTN1981817511" u="1"/>
        <s v="CTN1984130702" u="1"/>
        <s v="TRS3115038801" u="1"/>
        <s v="CTN1999401709" u="1"/>
        <s v="CTN3326166101" u="1"/>
        <s v="CTN1984150801" u="1"/>
        <s v="CTN3081337701" u="1"/>
        <s v="TRS3115038901" u="1"/>
        <s v="CTN1714621908" u="1"/>
        <s v="CTN1974139903" u="1"/>
        <s v="CTN1980493302" u="1"/>
        <s v="CTN2946404201" u="1"/>
        <s v="CTN1983233401" u="1"/>
        <s v="CTN3081271401" u="1"/>
        <s v="CTN3305167301" u="1"/>
        <s v="CTN3105094901" u="1"/>
        <s v="CTN1977877702" u="1"/>
        <s v="CTN1983227506" u="1"/>
        <s v="CTN3347520901" u="1"/>
        <s v="CTN1973233509" u="1"/>
        <s v="CTN3065086501" u="1"/>
        <s v="CTN3083271401" u="1"/>
        <s v="CTN3100363501" u="1"/>
        <s v="CTN1969766301" u="1"/>
        <s v="CTN1983213602" u="1"/>
        <s v="CTN1998676812" u="1"/>
        <s v="TRS3208507602" u="1"/>
        <s v="CTN2008730101" u="1"/>
        <s v="CTN1999696811" u="1"/>
        <s v="CTN1710286907" u="1"/>
        <s v="CTN5679356201" u="1"/>
        <s v="CTN1698984902" u="1"/>
        <s v="CTN1977176202" u="1"/>
        <s v="CTN3168426801" u="1"/>
        <s v="CTN3080540101" u="1"/>
        <s v="CTN1999427402" u="1"/>
        <s v="CTN1968494502" u="1"/>
        <s v="CTN1688155801" u="1"/>
        <s v="CTN1998092902" u="1"/>
        <s v="CTN1703702001" u="1"/>
        <s v="CTN3142976301" u="1"/>
        <s v="CTN3228982501" u="1"/>
        <s v="CTN1974820401" u="1"/>
        <s v="CTN1968494602" u="1"/>
        <s v="CTN3226264801" u="1"/>
        <s v="CTN1702078301" u="1"/>
        <s v="CTN2009524702" u="1"/>
        <s v="CTN3212851501" u="1"/>
        <s v="CTN1972562406" u="1"/>
        <s v="CTN3314118101" u="1"/>
        <s v="CTN1997873403" u="1"/>
        <s v="CTN1721652904" u="1"/>
        <s v="CTN3308885801" u="1"/>
        <s v="TRS3219927801" u="1"/>
        <s v="CTN3104632201" u="1"/>
        <s v="CTN1710301801" u="1"/>
        <s v="CTN1967912903" u="1"/>
        <s v="CTN1969597201" u="1"/>
        <s v="CTN1713521318" u="1"/>
        <s v="CTN1987316501" u="1"/>
        <s v="CTN1995115805" u="1"/>
        <s v="CTN3228982801" u="1"/>
        <s v="CTN2010692801" u="1"/>
        <s v="CTN3104632301" u="1"/>
        <s v="CTN1965503501" u="1"/>
        <s v="CTN2007330921" u="1"/>
        <s v="CTN3209720001" u="1"/>
        <s v="CTN5680942701" u="1"/>
        <s v="CTN3229281001" u="1"/>
        <s v="CTN1968503401" u="1"/>
        <s v="CTN2010692901" u="1"/>
        <s v="CTN2014472712" u="1"/>
        <s v="CTN1981845002" u="1"/>
        <s v="CTN1996936204" u="1"/>
        <s v="CTN2009292901" u="1"/>
        <s v="CTN3212851901" u="1"/>
        <s v="CTN1988502501" u="1"/>
        <s v="TRS3138071001" u="1"/>
        <s v="AFCTN3210353901" u="1"/>
        <s v="CTN1996873903" u="1"/>
        <s v="CTN1998684004" u="1"/>
        <s v="CTN2005023406" u="1"/>
        <s v="TRS3219944201" u="1"/>
        <s v="CTN3172311501" u="1"/>
        <s v="TRS3138071101" u="1"/>
        <s v="CTN2007189801" u="1"/>
        <s v="CTN3213216601" u="1"/>
        <s v="CTN1996498404" u="1"/>
        <s v="TRS3219944301" u="1"/>
        <s v="TRS3138071201" u="1"/>
        <s v="CTN3006292501" u="1"/>
        <s v="CTN1699752006" u="1"/>
        <s v="CTN1969597701" u="1"/>
        <s v="CTN1987313002" u="1"/>
        <s v="CTN3219402201" u="1"/>
        <s v="CTN1988516805" u="1"/>
        <s v="CTN3050690501" u="1"/>
        <s v="CTN3298026701" u="1"/>
        <s v="TRS3138071301" u="1"/>
        <s v="CTN1971748005" u="1"/>
        <s v="CTN1987679301" u="1"/>
        <s v="CTN1969597801" u="1"/>
        <s v="CTN3229616101" u="1"/>
        <s v="CTN3311770401" u="1"/>
        <s v="CTN3096348912" u="1"/>
        <s v="CTN3227281601" u="1"/>
        <s v="CTN1996498604" u="1"/>
        <s v="TRS3219944501" u="1"/>
        <s v="CTN1977917605" u="1"/>
        <s v="TRS3138071401" u="1"/>
        <s v="CTN3156060401" u="1"/>
        <s v="CTN1697106901" u="1"/>
        <s v="CTN1996498704" u="1"/>
        <s v="TRS3219944601" u="1"/>
        <s v="TRS3138071501" u="1"/>
        <s v="CTN1977871304" u="1"/>
        <s v="CTN1697123001" u="1"/>
        <s v="TRS3219944701" u="1"/>
        <s v="CTN1968520101" u="1"/>
        <s v="CTN3004189601" u="1"/>
        <s v="CTN2008077808" u="1"/>
        <s v="CTN3064707101" u="1"/>
        <s v="TRS3219944801" u="1"/>
        <s v="CTN3326266501" u="1"/>
        <s v="CTN3064987001" u="1"/>
        <s v="CTN3031056501" u="1"/>
        <s v="CTN1982573603" u="1"/>
        <s v="TRS3219944901" u="1"/>
        <s v="CTN1987948001" u="1"/>
        <s v="CTN2001727201" u="1"/>
        <s v="CTN1987327606" u="1"/>
        <s v="CTN2011772202" u="1"/>
        <s v="CTN1692449802" u="1"/>
        <s v="CTN1970350009" u="1"/>
        <s v="CTN1721649204" u="1"/>
        <s v="CTN3301453801" u="1"/>
        <s v="CTN3073054601" u="1"/>
        <s v="CTN3292658101" u="1"/>
        <s v="CTN1978528502" u="1"/>
        <s v="CTN1960594902" u="1"/>
        <s v="CTN3227896701" u="1"/>
        <s v="CTN1967223020" u="1"/>
        <s v="CTN3081268601" u="1"/>
        <s v="CTN1697123501" u="1"/>
        <s v="CTN1968520601" u="1"/>
        <s v="CTN1713532909" u="1"/>
        <s v="CTN3167460701" u="1"/>
        <s v="CTN3082706701" u="1"/>
        <s v="CTN3308799901" u="1"/>
        <s v="CTN1714933501" u="1"/>
        <s v="CTN1967883001" u="1"/>
        <s v="CTN1989236310" u="1"/>
        <s v="CTN1697123701" u="1"/>
        <s v="CTN1718270844" u="1"/>
        <s v="CTN1968500802" u="1"/>
        <s v="CTN1968520801" u="1"/>
        <s v="CTN1989908403" u="1"/>
        <s v="CTN2011772702" u="1"/>
        <s v="CTN2004913401" u="1"/>
        <s v="CTN1990378501" u="1"/>
        <s v="CTN1994378301" u="1"/>
        <s v="AFCTN3221814101" u="1"/>
        <s v="CTN1705856303" u="1"/>
        <s v="CTN1989882101" u="1"/>
        <s v="CTN3019961401" u="1"/>
        <s v="CTN2011772802" u="1"/>
        <s v="TRS3279054901" u="1"/>
        <s v="CTN1714933801" u="1"/>
        <s v="CTN1698177903" u="1"/>
        <s v="CTN1967883301" u="1"/>
        <s v="CTN1983138707" u="1"/>
        <s v="CTN2759027201" u="1"/>
        <s v="CTN2951203401" u="1"/>
        <s v="CTN1980505310" u="1"/>
        <s v="CTN1722357606" u="1"/>
        <s v="CTN3139945101" u="1"/>
        <s v="CTN5783715004" u="1"/>
        <s v="CTN1989882301" u="1"/>
        <s v="CTN1989602501" u="1"/>
        <s v="CTN2005675405" u="1"/>
        <s v="CTN2759027301" u="1"/>
        <s v="CTN1979994802" u="1"/>
        <s v="CTN1968506110" u="1"/>
        <s v="CTN3226716101" u="1"/>
        <s v="CTN1970339903" u="1"/>
        <s v="CTN1714621904" u="1"/>
        <s v="CTN3340551101" u="1"/>
        <s v="CTN1967883601" u="1"/>
        <s v="CTN1687086901" u="1"/>
        <s v="CTN2004913901" u="1"/>
        <s v="CTN1689970502" u="1"/>
        <s v="CTN2009518103" u="1"/>
        <s v="CTN1983227502" u="1"/>
        <s v="CTN3229278101" u="1"/>
        <s v="AFCTN3232195501" u="1"/>
        <s v="CTN3422305909" u="1"/>
        <s v="CTN2007927905" u="1"/>
        <s v="CTN2008744101" u="1"/>
        <s v="CTN1974302001" u="1"/>
        <s v="CTN3065538701" u="1"/>
        <s v="CTN1714944506" u="1"/>
        <s v="CTN1978359902" u="1"/>
        <s v="CTN3080554001" u="1"/>
        <s v="CTN3328366301" u="1"/>
        <s v="CTN1984381105" u="1"/>
        <s v="CTN1989407307" u="1"/>
        <s v="CTN3326020201" u="1"/>
        <s v="AFCTN3221928101" u="1"/>
        <s v="CTN3016512801" u="1"/>
        <s v="CTN1984381205" u="1"/>
        <s v="CTN3229902301" u="1"/>
        <s v="CTN3328020201" u="1"/>
        <s v="CTN1983135508" u="1"/>
        <s v="CTN1709092802" u="1"/>
        <s v="CTN3068472401" u="1"/>
        <s v="CTN5696077303" u="1"/>
        <s v="CTN1987925603" u="1"/>
        <s v="CTN3113963201" u="1"/>
        <s v="CTN3229902401" u="1"/>
        <s v="TRS2990909301" u="1"/>
        <s v="CTN1653039701" u="1"/>
        <s v="CTN1968517001" u="1"/>
        <s v="CTN2004369102" u="1"/>
        <s v="CTN1718501001" u="1"/>
        <s v="CTN3065724901" u="1"/>
        <s v="CTN3229902501" u="1"/>
        <s v="TRS2990909401" u="1"/>
        <s v="TRS3099163401" u="1"/>
        <s v="TRS3104310001" u="1"/>
        <s v="CTN2007930501" u="1"/>
        <s v="CTN3326020601" u="1"/>
        <s v="TRS3099163501" u="1"/>
        <s v="CTN1692935606" u="1"/>
        <s v="CTN1975116701" u="1"/>
        <s v="CTN1990389806" u="1"/>
        <s v="CTN1996492906" u="1"/>
        <s v="TRS3104310101" u="1"/>
        <s v="CTN3065807501" u="1"/>
        <s v="TRS2990909601" u="1"/>
        <s v="TRS3099163601" u="1"/>
        <s v="CTN3131513001" u="1"/>
        <s v="CTN1698995403" u="1"/>
        <s v="CTN1995115801" u="1"/>
        <s v="CTN3068910801" u="1"/>
        <s v="CTN3324821101" u="1"/>
        <s v="CTN1656308101" u="1"/>
        <s v="TRS3104310201" u="1"/>
        <s v="CTN1678410401" u="1"/>
        <s v="CTN1989407907" u="1"/>
        <s v="TRS3099163701" u="1"/>
        <s v="CTN1970479401" u="1"/>
        <s v="CTN2000189711" u="1"/>
        <s v="TRS3104310301" u="1"/>
        <s v="CTN3065807701" u="1"/>
        <s v="CTN1695941701" u="1"/>
        <s v="CTN1987316511" u="1"/>
        <s v="TRS3099163801" u="1"/>
        <s v="CTN5785858701" u="1"/>
        <s v="TRS3104310401" u="1"/>
        <s v="CTN1695941801" u="1"/>
        <s v="CTN1974113102" u="1"/>
        <s v="CTN1987922204" u="1"/>
        <s v="CTN1997438203" u="1"/>
        <s v="TRS3099163901" u="1"/>
        <s v="CTN3340903001" u="1"/>
        <s v="CTN1975479401" u="1"/>
        <s v="CTN5778289301" u="1"/>
        <s v="TRS3104310601" u="1"/>
        <s v="CTN3182007401" u="1"/>
        <s v="CTN1977187203" u="1"/>
        <s v="CTN3066638201" u="1"/>
        <s v="CTN5778289401" u="1"/>
        <s v="TRS3104310701" u="1"/>
        <s v="CTN1989879001" u="1"/>
        <s v="CTN4941884001" u="1"/>
        <s v="CTN1703716901" u="1"/>
        <s v="CTN1977187303" u="1"/>
        <s v="CTN3150792501" u="1"/>
        <s v="CTN3084385201" u="1"/>
        <s v="TRS3104310801" u="1"/>
        <s v="CTN1691889004" u="1"/>
        <s v="CTN1981819504" u="1"/>
        <s v="CTN1699752016" u="1"/>
        <s v="CTN3223733901" u="1"/>
        <s v="CTN1701464901" u="1"/>
        <s v="TRS3074264001" u="1"/>
        <s v="CTN1986690503" u="1"/>
        <s v="TRS3104310901" u="1"/>
        <s v="CTN1964451801" u="1"/>
        <s v="CTN3065638501" u="1"/>
        <s v="CTN3129831601" u="1"/>
        <s v="CTN3317504501" u="1"/>
        <s v="CTN1727088102" u="1"/>
        <s v="CTN3090505401" u="1"/>
        <s v="TRS3074264101" u="1"/>
        <s v="CTN1968514102" u="1"/>
        <s v="CTN1964451901" u="1"/>
        <s v="CTN1989879301" u="1"/>
        <s v="CTN2008077804" u="1"/>
        <s v="TRS3074264201" u="1"/>
        <s v="CTN1986690703" u="1"/>
        <s v="CTN3158074601" u="1"/>
        <s v="CTN3113980501" u="1"/>
        <s v="CTN3353333101" u="1"/>
        <s v="CTN3099170501" u="1"/>
        <s v="TRS3074264301" u="1"/>
        <s v="CTN3348651101" u="1"/>
        <s v="TRS3576063901" u="1"/>
        <s v="CTN1969774103" u="1"/>
        <s v="CTN1987327602" u="1"/>
        <s v="CTN1701249508" u="1"/>
        <s v="CTN1705630902" u="1"/>
        <s v="CTN1966994106" u="1"/>
        <s v="TRS3074264401" u="1"/>
        <s v="CTN3326466501" u="1"/>
        <s v="CTN1691912908" u="1"/>
        <s v="CTN3127914501" u="1"/>
        <s v="CTN3347717701" u="1"/>
        <s v="TRS3074264501" u="1"/>
        <s v="CTN1974662102" u="1"/>
        <s v="CTN1694303402" u="1"/>
        <s v="CTN1982364001" u="1"/>
        <s v="CTN3507989601" u="1"/>
        <s v="CTN2004312601" u="1"/>
        <s v="CTN1969588503" u="1"/>
        <s v="CTN1671750203" u="1"/>
        <s v="CTN1689455601" u="1"/>
        <s v="TRS3074264601" u="1"/>
        <s v="CTN1970350019" u="1"/>
        <s v="CTN3324203001" u="1"/>
        <s v="CTN1713532905" u="1"/>
        <s v="CTN2012786502" u="1"/>
        <s v="TRS3074264701" u="1"/>
        <s v="CTN1980524107" u="1"/>
        <s v="CTN1694323601" u="1"/>
        <s v="CTN1982364201" u="1"/>
        <s v="CTN1686724201" u="1"/>
        <s v="CTN1712229901" u="1"/>
        <s v="CTN1713532919" u="1"/>
        <s v="CTN1973216901" u="1"/>
        <s v="CTN1967242703" u="1"/>
        <s v="CTN3137092301" u="1"/>
        <s v="CTN1960585304" u="1"/>
        <s v="CTN1964585104" u="1"/>
        <s v="CTN1685964203" u="1"/>
        <s v="CTN3287810102" u="1"/>
        <s v="CTN1983481805" u="1"/>
        <s v="CTN2015494404" u="1"/>
        <s v="CTN1702987907" u="1"/>
        <s v="CTN1973233001" u="1"/>
        <s v="CTN3050973901" u="1"/>
        <s v="CTN3154875801" u="1"/>
        <s v="CTN3215181401" u="1"/>
        <s v="CTN3158343601" u="1"/>
        <s v="CTN1709967608" u="1"/>
        <s v="CTN1934152601" u="1"/>
        <s v="CTN1983138703" u="1"/>
        <s v="CTN1999401601" u="1"/>
        <s v="CTN3154875901" u="1"/>
        <s v="TRS3104307001" u="1"/>
        <s v="CTN1722357602" u="1"/>
        <s v="CTN3158157901" u="1"/>
        <s v="TRS3560032001" u="1"/>
        <s v="CTN1981816705" u="1"/>
        <s v="CTN3143930401" u="1"/>
        <s v="CTN2005675401" u="1"/>
        <s v="CTN1999401701" u="1"/>
        <s v="CTN2013274901" u="1"/>
        <s v="CTN3327203401" u="1"/>
        <s v="CTN5707281801" u="1"/>
        <s v="CTN3066469801" u="1"/>
        <s v="CTN3215181601" u="1"/>
        <s v="TRS3104307101" u="1"/>
        <s v="TRS3327828001" u="1"/>
        <s v="CTN5702330312" u="1"/>
        <s v="TRS3560032101" u="1"/>
        <s v="CTN1694340101" u="1"/>
        <s v="CTN1954234201" u="1"/>
        <s v="CTN3169743401" u="1"/>
        <s v="CTN2939218201" u="1"/>
        <s v="CTN1973233301" u="1"/>
        <s v="CTN3215264101" u="1"/>
        <s v="TRS3104307201" u="1"/>
        <s v="TRS3327828101" u="1"/>
        <s v="TRS3560032201" u="1"/>
        <s v="CTN1970350905" u="1"/>
        <s v="CTN2007927701" u="1"/>
        <s v="CTN1999401715" u="1"/>
        <s v="CTN1709095925" u="1"/>
        <s v="CTN1973233401" u="1"/>
        <s v="CTN3066655801" u="1"/>
        <s v="TRS3104307301" u="1"/>
        <s v="TRS3327828201" u="1"/>
        <s v="TRS3560032301" u="1"/>
        <s v="CTN2007927801" u="1"/>
        <s v="TRS3225674001" u="1"/>
        <s v="CTN1691872501" u="1"/>
        <s v="CTN1995950201" u="1"/>
        <s v="CTN2001944101" u="1"/>
        <s v="CTN3127931501" u="1"/>
        <s v="TRS3027135901" u="1"/>
        <s v="CTN1973233501" u="1"/>
        <s v="CTN3137175301" u="1"/>
        <s v="TRS3104307401" u="1"/>
        <s v="CTN3298512401" u="1"/>
        <s v="TRS2751955801" u="1"/>
        <s v="TRS3327828301" u="1"/>
        <s v="CTN3100494901" u="1"/>
        <s v="CTN3422305905" u="1"/>
        <s v="TRS3560032401" u="1"/>
        <s v="CTN2007927901" u="1"/>
        <s v="TRS3225674101" u="1"/>
        <s v="CTN3307567001" u="1"/>
        <s v="CTN3053272501" u="1"/>
        <s v="CTN1709086503" u="1"/>
        <s v="TRS3104307501" u="1"/>
        <s v="TRS3327828401" u="1"/>
        <s v="CTN2006446004" u="1"/>
        <s v="CTN2952217901" u="1"/>
        <s v="TRS3560032501" u="1"/>
        <s v="CTN3216078601" u="1"/>
        <s v="TRS3225674201" u="1"/>
        <s v="CTN2001944301" u="1"/>
        <s v="CTN3169743801" u="1"/>
        <s v="CTN1989407203" u="1"/>
        <s v="CTN3347565101" u="1"/>
        <s v="CTN1689452702" u="1"/>
        <s v="CTN1973233701" u="1"/>
        <s v="CTN1983135304" u="1"/>
        <s v="CTN1714944502" u="1"/>
        <s v="CTN1986687203" u="1"/>
        <s v="TRS3104307601" u="1"/>
        <s v="TRS3327828501" u="1"/>
        <s v="CTN5737829801" u="1"/>
        <s v="TRS3560032601" u="1"/>
        <s v="CTN1694340601" u="1"/>
        <s v="CTN1984381101" u="1"/>
        <s v="TRS3225674301" u="1"/>
        <s v="CTN1671853802" u="1"/>
        <s v="CTN1977931402" u="1"/>
        <s v="AFCTN3208014201" u="1"/>
        <s v="CTN1707813002" u="1"/>
        <s v="CTN1989407303" u="1"/>
        <s v="CTN3099167001" u="1"/>
        <s v="TRS3104307701" u="1"/>
        <s v="CTN1994329205" u="1"/>
        <s v="TRS3327828601" u="1"/>
        <s v="TRS3560032701" u="1"/>
        <s v="CTN1984381201" u="1"/>
        <s v="TRS3225674401" u="1"/>
        <s v="CTN1987667304" u="1"/>
        <s v="CTN3135893601" u="1"/>
        <s v="CTN3304221201" u="1"/>
        <s v="CTN1705395201" u="1"/>
        <s v="CTN1983135504" u="1"/>
        <s v="TRS3324576601" u="1"/>
        <s v="TRS3104307801" u="1"/>
        <s v="TRS3327828701" u="1"/>
        <s v="TRS3560032801" u="1"/>
        <s v="CTN1984381301" u="1"/>
        <s v="TRS3225674501" u="1"/>
        <s v="CTN1981853504" u="1"/>
        <s v="TRS3024767001" u="1"/>
        <s v="CTN3077085901" u="1"/>
        <s v="TRS3324576701" u="1"/>
        <s v="CTN1702984908" u="1"/>
        <s v="CTN3210982901" u="1"/>
        <s v="TRS3104307901" u="1"/>
        <s v="TRS3327828801" u="1"/>
        <s v="TRS3560032901" u="1"/>
        <s v="CTN3155975201" u="1"/>
        <s v="CTN3159975001" u="1"/>
        <s v="TRS3225674601" u="1"/>
        <s v="CTN3048141301" u="1"/>
        <s v="CTN3307567501" u="1"/>
        <s v="TRS3024767101" u="1"/>
        <s v="CTN1705395401" u="1"/>
        <s v="CTN1983195701" u="1"/>
        <s v="CTN3324818901" u="1"/>
        <s v="TRS3324576801" u="1"/>
        <s v="CTN1998764901" u="1"/>
        <s v="CTN3214982801" u="1"/>
        <s v="TRS3327828901" u="1"/>
        <s v="CTN1984381501" u="1"/>
        <s v="TRS3225674701" u="1"/>
        <s v="CTN3304221501" u="1"/>
        <s v="CTN5869429001" u="1"/>
        <s v="TRS3423215201" u="1"/>
        <s v="CTN1692935602" u="1"/>
        <s v="CTN1983195801" u="1"/>
        <s v="TRS3324576901" u="1"/>
        <s v="CTN1973230202" u="1"/>
        <s v="CTN3080940101" u="1"/>
        <s v="CTN3215001201" u="1"/>
        <s v="CTN3178442201" u="1"/>
        <s v="TRS3225674801" u="1"/>
        <s v="TRS3423215301" u="1"/>
        <s v="CTN2001692701" u="1"/>
        <s v="CTN1966997001" u="1"/>
        <s v="CTN3229132501" u="1"/>
        <s v="CTN3215001301" u="1"/>
        <s v="TRS3225674901" u="1"/>
        <s v="CTN1989407903" u="1"/>
        <s v="TRS3068951001" u="1"/>
        <s v="CTN1690915903" u="1"/>
        <s v="CTN1962820901" u="1"/>
        <s v="CTN1710306003" u="1"/>
        <s v="CTN1974147001" u="1"/>
        <s v="TRS3068951101" u="1"/>
        <s v="CTN1966997201" u="1"/>
        <s v="CTN3074886801" u="1"/>
        <s v="CTN3106594001" u="1"/>
        <s v="CTN3758413501" u="1"/>
        <s v="CTN3170190701" u="1"/>
        <s v="TRS3068951201" u="1"/>
        <s v="CTN3126593101" u="1"/>
        <s v="CTN1958231402" u="1"/>
        <s v="CTN1977902309" u="1"/>
        <s v="CTN3227747401" u="1"/>
        <s v="CTN1977782501" u="1"/>
        <s v="TRS3068951301" u="1"/>
        <s v="CTN1973230702" u="1"/>
        <s v="CTN3229132901" u="1"/>
        <s v="CTN1988464301" u="1"/>
        <s v="CTN3044690201" u="1"/>
        <s v="CTN3106500201" u="1"/>
        <s v="CTN5737677001" u="1"/>
        <s v="AFCTN3210811301" u="1"/>
        <s v="CTN5681186801" u="1"/>
        <s v="TRS3068951401" u="1"/>
        <s v="CTN3512788301" u="1"/>
        <s v="CTN3138275001" u="1"/>
        <s v="TRS3068951501" u="1"/>
        <s v="CTN3298426401" u="1"/>
        <s v="CTN1718515901" u="1"/>
        <s v="CTN1972593202" u="1"/>
        <s v="CTN1699752012" u="1"/>
        <s v="CTN1974081101" u="1"/>
        <s v="TRS3068951601" u="1"/>
        <s v="CTN5755144301" u="1"/>
        <s v="CTN1708678405" u="1"/>
        <s v="CTN2006961401" u="1"/>
        <s v="CTN1709916601" u="1"/>
        <s v="CTN1965465801" u="1"/>
        <s v="CTN1966997801" u="1"/>
        <s v="CTN3044690601" u="1"/>
        <s v="CTN1960167908" u="1"/>
        <s v="CTN1967903801" u="1"/>
        <s v="CTN1965479905" u="1"/>
        <s v="CTN1989630502" u="1"/>
        <s v="TRS3068951801" u="1"/>
        <s v="CTN3096705001" u="1"/>
        <s v="TRS3070278401" u="1"/>
        <s v="CTN3298426701" u="1"/>
        <s v="CTN1694337101" u="1"/>
        <s v="CTN3106314901" u="1"/>
        <s v="CTN1705707203" u="1"/>
        <s v="TRS3068951901" u="1"/>
        <s v="CTN1692926708" u="1"/>
        <s v="CTN1699420302" u="1"/>
        <s v="TRS3070278501" u="1"/>
        <s v="CTN1972602001" u="1"/>
        <s v="CTN1974147901" u="1"/>
        <s v="CTN1984089502" u="1"/>
        <s v="CTN3292360701" u="1"/>
        <s v="AFCTN3229173701" u="1"/>
        <s v="CTN1691880407" u="1"/>
        <s v="CTN1701249504" u="1"/>
        <s v="CTN3314984601" u="1"/>
        <s v="TRS3421847001" u="1"/>
        <s v="CTN1691912904" u="1"/>
        <s v="CTN1970350001" u="1"/>
        <s v="CTN3068586401" u="1"/>
        <s v="CTN3114900701" u="1"/>
        <s v="TRS3421847101" u="1"/>
        <s v="CTN1974313902" u="1"/>
        <s v="CTN1978333701" u="1"/>
        <s v="CTN1995103104" u="1"/>
        <s v="CTN3069240201" u="1"/>
        <s v="CTN3215195001" u="1"/>
        <s v="TRS3421847201" u="1"/>
        <s v="CTN1970350015" u="1"/>
        <s v="CTN1721649210" u="1"/>
        <s v="CTN1981816201" u="1"/>
        <s v="CTN2008074301" u="1"/>
        <s v="CTN1701558002" u="1"/>
        <s v="CTN1980524103" u="1"/>
        <s v="CTN1719838903" u="1"/>
        <s v="CTN3091004001" u="1"/>
        <s v="CTN1713532915" u="1"/>
        <s v="CTN3321151001" u="1"/>
        <s v="CTN3155889701" u="1"/>
        <s v="CTN3508311501" u="1"/>
        <s v="CTN3209765601" u="1"/>
        <s v="CTN1999397108" u="1"/>
        <s v="CTN3513339801" u="1"/>
        <s v="CTN1967236804" u="1"/>
        <s v="CTN1983481801" u="1"/>
        <s v="CTN3308498001" u="1"/>
        <s v="CTN2009260501" u="1"/>
        <s v="CTN3292443901" u="1"/>
        <s v="CTN1977928802" u="1"/>
        <s v="CTN1981816701" u="1"/>
        <s v="CTN1702987917" u="1"/>
        <s v="CTN3307404201" u="1"/>
        <s v="CTN1974842603" u="1"/>
        <s v="CTN1994695801" u="1"/>
        <s v="CTN3298526101" u="1"/>
        <s v="CTN1701558602" u="1"/>
        <s v="CTN1995103804" u="1"/>
        <s v="CTN1980358902" u="1"/>
        <s v="CTN1981816715" u="1"/>
        <s v="CTN1974144902" u="1"/>
        <s v="CTN1709095921" u="1"/>
        <s v="CTN3307404401" u="1"/>
        <s v="CTN1984607003" u="1"/>
        <s v="TRS3225688001" u="1"/>
        <s v="CTN1977925103" u="1"/>
        <s v="CTN1984607103" u="1"/>
        <s v="CTN2994881101" u="1"/>
        <s v="CTN1994692102" u="1"/>
        <s v="CTN3422305901" u="1"/>
        <s v="TRS3225688101" u="1"/>
        <s v="CTN1981833101" u="1"/>
        <s v="CTN1722743702" u="1"/>
        <s v="CTN1994329001" u="1"/>
        <s v="CTN1978181001" u="1"/>
        <s v="CTN3301870601" u="1"/>
        <s v="CTN3156626601" u="1"/>
        <s v="CTN3138189501" u="1"/>
        <s v="CTN1967888003" u="1"/>
        <s v="CTN1971647509" u="1"/>
        <s v="CTN1981833301" u="1"/>
        <s v="CTN3229501601" u="1"/>
        <s v="CTN2015079603" u="1"/>
        <s v="CTN3077005701" u="1"/>
        <s v="CTN2952883501" u="1"/>
        <s v="CTN1994329201" u="1"/>
        <s v="CTN3308870401" u="1"/>
        <s v="CTN1690185101" u="1"/>
        <s v="CTN3209596701" u="1"/>
        <s v="CTN3051807401" u="1"/>
        <s v="CTN1967213806" u="1"/>
        <s v="CTN1968834201" u="1"/>
        <s v="TRS3142336001" u="1"/>
        <s v="CTN2007892001" u="1"/>
        <s v="TRS3142336101" u="1"/>
        <s v="CTN1994692702" u="1"/>
        <s v="CTN1979613506" u="1"/>
        <s v="TRS3142336201" u="1"/>
        <s v="CTN1968522204" u="1"/>
        <s v="CTN1970464205" u="1"/>
        <s v="CTN3089937701" u="1"/>
        <s v="CTN1999263001" u="1"/>
        <s v="CTN2009360101" u="1"/>
        <s v="TRS3142336301" u="1"/>
        <s v="CTN1720574702" u="1"/>
        <s v="CTN1981833901" u="1"/>
        <s v="CTN1969596305" u="1"/>
        <s v="CTN2001686802" u="1"/>
        <s v="CTN1721554703" u="1"/>
        <s v="CTN1971650105" u="1"/>
        <s v="CTN1999263101" u="1"/>
        <s v="CTN3050638101" u="1"/>
        <s v="TRS3142336401" u="1"/>
        <s v="CTN1718257202" u="1"/>
        <s v="CTN3062171001" u="1"/>
        <s v="CTN2015734107" u="1"/>
        <s v="CTN1999263201" u="1"/>
        <s v="TRS3142336501" u="1"/>
        <s v="CTN1690228203" u="1"/>
        <s v="CTN1970347101" u="1"/>
        <s v="CTN1982366008" u="1"/>
        <s v="AFCTN3229508601" u="1"/>
        <s v="CTN1999263301" u="1"/>
        <s v="TRS3142336601" u="1"/>
        <s v="CTN1716529701" u="1"/>
        <s v="CTN3308598001" u="1"/>
        <s v="CTN1967868904" u="1"/>
        <s v="CTN1697706001" u="1"/>
        <s v="CTN1977902305" u="1"/>
        <s v="CTN2004915204" u="1"/>
        <s v="TRS3142336701" u="1"/>
        <s v="CTN1966851001" u="1"/>
        <s v="CTN3348233901" u="1"/>
        <s v="CTN1692926204" u="1"/>
        <s v="CTN2009257201" u="1"/>
        <s v="CTN2015076604" u="1"/>
        <s v="CTN1966851101" u="1"/>
        <s v="CTN1979996405" u="1"/>
        <s v="CTN1995935608" u="1"/>
        <s v="CTN3182072501" u="1"/>
        <s v="CTN1979264601" u="1"/>
        <s v="CTN1999263601" u="1"/>
        <s v="CTN1970347501" u="1"/>
        <s v="CTN1996423607" u="1"/>
        <s v="CTN3005612401" u="1"/>
        <s v="CTN3127075401" u="1"/>
        <s v="CTN1708678401" u="1"/>
        <s v="CTN3216378301" u="1"/>
        <s v="CTN1960167904" u="1"/>
        <s v="AFCTN3226553901" u="1"/>
        <s v="CTN1965479901" u="1"/>
        <s v="TRS3145353001" u="1"/>
        <s v="CTN1987916901" u="1"/>
        <s v="CTN1692926704" u="1"/>
        <s v="CTN1972616001" u="1"/>
        <s v="CTN3226415901" u="1"/>
        <s v="CTN1691880403" u="1"/>
        <s v="CTN2011771206" u="1"/>
        <s v="CTN2009257801" u="1"/>
        <s v="CTN3289160601" u="1"/>
        <s v="CTN1690880503" u="1"/>
        <s v="CTN1972616101" u="1"/>
        <s v="TRS3559996501" u="1"/>
        <s v="CTN1697706801" u="1"/>
        <s v="CTN2001952103" u="1"/>
        <s v="CTN3005612901" u="1"/>
        <s v="CTN1963216501" u="1"/>
        <s v="CTN1974839903" u="1"/>
        <s v="CTN1972616201" u="1"/>
        <s v="CTN1994409302" u="1"/>
        <s v="CTN3105093001" u="1"/>
        <s v="TRS3559996601" u="1"/>
        <s v="CTN1692454901" u="1"/>
        <s v="CTN2001952203" u="1"/>
        <s v="CTN2947666201" u="1"/>
        <s v="CTN1972616301" u="1"/>
        <s v="CTN3149792801" u="1"/>
        <s v="CTN5755427201" u="1"/>
        <s v="CTN3021339101" u="1"/>
        <s v="CTN3315297001" u="1"/>
        <s v="CTN5669261704" u="1"/>
        <s v="CTN3229163901" u="1"/>
        <s v="CTN3311203201" u="1"/>
        <s v="CTN1972616401" u="1"/>
        <s v="CTN1982363209" u="1"/>
        <s v="CTN1974075902" u="1"/>
        <s v="CTN3149792901" u="1"/>
        <s v="CTN1723880201" u="1"/>
        <s v="CTN1983215801" u="1"/>
        <s v="CTN1968934401" u="1"/>
        <s v="CTN1995094901" u="1"/>
        <s v="CTN1708689206" u="1"/>
        <s v="CTN1970481805" u="1"/>
        <s v="CTN1692923305" u="1"/>
        <s v="CTN2001952603" u="1"/>
        <s v="CTN3077468501" u="1"/>
        <s v="CTN1973158602" u="1"/>
        <s v="CTN1690963503" u="1"/>
        <s v="TRS3208506002" u="1"/>
        <s v="TRS3100521902" u="1"/>
        <s v="CTN1695537701" u="1"/>
        <s v="CTN3307335701" u="1"/>
        <s v="CTN5789211601" u="1"/>
        <s v="CTN3314921301" u="1"/>
        <s v="CTN1968496701" u="1"/>
        <s v="CTN5674129003" u="1"/>
        <s v="CTN1978178501" u="1"/>
        <s v="CTN1688154001" u="1"/>
        <s v="CTN3170024901" u="1"/>
        <s v="TRS3567415301" u="1"/>
        <s v="CTN2007234703" u="1"/>
        <s v="CTN3308604001" u="1"/>
        <s v="CTN1709927802" u="1"/>
        <s v="CTN3006274001" u="1"/>
        <s v="TRS3567415401" u="1"/>
        <s v="CTN1987661702" u="1"/>
        <s v="CTN2004889401" u="1"/>
        <s v="CTN3228964801" u="1"/>
        <s v="CTN1974138903" u="1"/>
        <s v="CTN1981816711" u="1"/>
        <s v="CTN1977876602" u="1"/>
        <s v="CTN2003337502" u="1"/>
        <s v="CTN1694903706" u="1"/>
        <s v="CTN3065085401" u="1"/>
        <s v="CTN3311203901" u="1"/>
        <s v="CTN1688154301" u="1"/>
        <s v="CTN1695485705" u="1"/>
        <s v="CTN1977524507" u="1"/>
        <s v="CTN1987412106" u="1"/>
        <s v="CTN3081270501" u="1"/>
        <s v="CTN3308884201" u="1"/>
        <s v="CTN1977896901" u="1"/>
        <s v="CTN2009517307" u="1"/>
        <s v="CTN1965473403" u="1"/>
        <s v="CTN1973135304" u="1"/>
        <s v="CTN3181172801" u="1"/>
        <s v="CTN5922753601" u="1"/>
        <s v="CTN3422305911" u="1"/>
        <s v="CTN1688300403" u="1"/>
        <s v="CTN3208450201" u="1"/>
        <s v="CTN1729757502" u="1"/>
        <s v="CTN1971647505" u="1"/>
        <s v="CTN1977544806" u="1"/>
        <s v="CTN1688154701" u="1"/>
        <s v="CTN2007869802" u="1"/>
        <s v="CTN3305435001" u="1"/>
        <s v="CTN1690877003" u="1"/>
        <s v="CTN3052569101" u="1"/>
        <s v="CTN3228981401" u="1"/>
        <s v="CTN3308698701" u="1"/>
        <s v="CTN1706515001" u="1"/>
        <s v="CTN2004374001" u="1"/>
        <s v="CTN1709964501" u="1"/>
        <s v="CTN3209982401" u="1"/>
        <s v="CTN3101631101" u="1"/>
        <s v="CTN1967213802" u="1"/>
        <s v="CTN1690920506" u="1"/>
        <s v="TRS3141519901" u="1"/>
        <s v="CTN1969596001" u="1"/>
        <s v="CTN1695482306" u="1"/>
        <s v="CTN1968828302" u="1"/>
        <s v="CTN3212850501" u="1"/>
        <s v="CTN1690179402" u="1"/>
        <s v="CTN2008079807" u="1"/>
        <s v="CTN1699159003" u="1"/>
        <s v="CTN3073036301" u="1"/>
        <s v="CTN3208982701" u="1"/>
        <s v="CTN3076036201" u="1"/>
        <s v="CTN3021439101" u="1"/>
        <s v="CTN1705701201" u="1"/>
        <s v="CTN2007334203" u="1"/>
        <s v="CTN3229263901" u="1"/>
        <s v="CTN3051569601" u="1"/>
        <s v="CTN1969596301" u="1"/>
        <s v="CTN1960865001" u="1"/>
        <s v="CTN1968502401" u="1"/>
        <s v="CTN3305435601" u="1"/>
        <s v="CTN3305621401" u="1"/>
        <s v="CTN1949231202" u="1"/>
        <s v="CTN1982366004" u="1"/>
        <s v="CTN3066540501" u="1"/>
        <s v="TRS3138070001" u="1"/>
        <s v="CTN1977781409" u="1"/>
        <s v="CTN1989223307" u="1"/>
        <s v="CTN3111127701" u="1"/>
        <s v="CTN3324448805" u="1"/>
        <s v="CTN1698179502" u="1"/>
        <s v="CTN3320265201" u="1"/>
        <s v="TRS3138070101" u="1"/>
        <s v="CTN3055941301" u="1"/>
        <s v="CTN1692448102" u="1"/>
        <s v="CTN1982366018" u="1"/>
        <s v="CTN1982366204" u="1"/>
        <s v="CTN3048355801" u="1"/>
        <s v="CTN3066540701" u="1"/>
        <s v="TRS3071950701" u="1"/>
        <s v="CTN1688151602" u="1"/>
        <s v="CTN2945766901" u="1"/>
        <s v="CTN3229615001" u="1"/>
        <s v="CTN1698994907" u="1"/>
        <s v="CTN1960865401" u="1"/>
        <s v="CTN1692448202" u="1"/>
        <s v="TRS3071950801" u="1"/>
        <s v="CTN1977902315" u="1"/>
        <s v="CTN1979996401" u="1"/>
        <s v="CTN1995935604" u="1"/>
        <s v="CTN2005677104" u="1"/>
        <s v="CTN1989243606" u="1"/>
        <s v="CTN1722345401" u="1"/>
        <s v="CTN1971644706" u="1"/>
        <s v="CTN3229615201" u="1"/>
        <s v="CTN1697105901" u="1"/>
        <s v="CTN1960865601" u="1"/>
        <s v="CTN3302266501" u="1"/>
        <s v="CTN3169991001" u="1"/>
        <s v="CTN1983512306" u="1"/>
        <s v="CTN1960865701" u="1"/>
        <s v="CTN1692448502" u="1"/>
        <s v="CTN3518172909" u="1"/>
        <s v="CTN1702074402" u="1"/>
        <s v="CTN1722345701" u="1"/>
        <s v="CTN1721771403" u="1"/>
        <s v="TRS3046465001" u="1"/>
        <s v="CTN3101714901" u="1"/>
        <s v="CTN2011771202" u="1"/>
        <s v="CTN2015399402" u="1"/>
        <s v="CTN5726863501" u="1"/>
        <s v="CTN3300721001" u="1"/>
        <s v="CTN1962144102" u="1"/>
        <s v="CTN3154142401" u="1"/>
        <s v="CTN1977870704" u="1"/>
        <s v="CTN1689454505" u="1"/>
        <s v="CTN3228978001" u="1"/>
        <s v="CTN1697122401" u="1"/>
        <s v="CTN3019960001" u="1"/>
        <s v="CTN1701249510" u="1"/>
        <s v="CTN1999474106" u="1"/>
        <s v="CTN3131143701" u="1"/>
        <s v="CTN1691912910" u="1"/>
        <s v="CTN1995946409" u="1"/>
        <s v="CTN2007926005" u="1"/>
        <s v="CTN5785860901" u="1"/>
        <s v="CTN3327096201" u="1"/>
        <s v="CTN5669261714" u="1"/>
        <s v="CTN3328365101" u="1"/>
        <s v="CTN3297751407" u="1"/>
        <s v="CTN3311234201" u="1"/>
        <s v="CTN5706180101" u="1"/>
        <s v="CTN3296039001" u="1"/>
        <s v="CTN3305366901" u="1"/>
        <s v="CTN3324196501" u="1"/>
        <s v="CTN3300718201" u="1"/>
        <s v="CTN3340902001" u="1"/>
        <s v="CTN3324448801" u="1"/>
        <s v="CTN3317234901" u="1"/>
        <s v="CTN4822181601" u="1"/>
        <s v="CTN3327279101" u="1"/>
        <s v="CTN5883161801" u="1"/>
        <s v="CTN3327279201" u="1"/>
        <s v="CTN3305197901" u="1"/>
        <s v="CTN3518172905" u="1"/>
        <s v="CTN3326465301" u="1"/>
        <s v="CTN3294308801" u="1"/>
        <s v="CTN3326465701" u="1"/>
        <s v="CTN3286457301" u="1"/>
        <s v="CTN3330281305" u="1"/>
        <s v="TRS3561014601" u="1"/>
        <s v="CTN3286457501" u="1"/>
        <s v="CTN5779743501" u="1"/>
        <s v="TRS3561014801" u="1"/>
        <s v="TRS3327827001" u="1"/>
        <s v="TRS3327827101" u="1"/>
        <s v="AFCTN3222730201" u="1"/>
        <s v="TRS3327827201" u="1"/>
        <s v="TRS3327827301" u="1"/>
        <s v="TRS3327827401" u="1"/>
        <s v="CTN3297751403" u="1"/>
        <s v="TRS3327827501" u="1"/>
        <s v="TRS3560031601" u="1"/>
        <s v="CTN3327379401" u="1"/>
        <s v="TRS3327827601" u="1"/>
        <s v="TRS3560031701" u="1"/>
        <s v="CTN3297751417" u="1"/>
        <s v="TRS3327827701" u="1"/>
        <s v="TRS3560031801" u="1"/>
        <s v="CTN5870745501" u="1"/>
        <s v="CTN5664355701" u="1"/>
        <s v="TRS3327827801" u="1"/>
        <s v="TRS3560031901" u="1"/>
        <s v="CTN5735127401" u="1"/>
        <s v="TRS3327827901" u="1"/>
        <s v="CTN3758692301" u="1"/>
        <s v="TRS3290518101" u="1"/>
        <s v="CTN5755675301" u="1"/>
        <s v="CTN3518172901" u="1"/>
        <s v="CTN5737676401" u="1"/>
        <s v="CTN3348664001" u="1"/>
        <s v="CTN4949617301" u="1"/>
        <s v="TRS3421846001" u="1"/>
        <s v="TRS3421846101" u="1"/>
        <s v="TRS3421846201" u="1"/>
        <s v="CTN3301709203" u="1"/>
        <s v="CTN5706629001" u="1"/>
        <s v="TRS3292266801" u="1"/>
        <s v="TRS3421846301" u="1"/>
        <s v="TRS3421846401" u="1"/>
        <s v="TRS3421846501" u="1"/>
        <s v="CTN3420836501" u="1"/>
        <s v="TRS3421846601" u="1"/>
        <s v="CTN5869276101" u="1"/>
        <s v="TRS3421846701" u="1"/>
        <s v="CTN5783439801" u="1"/>
        <s v="CTN3293442901" u="1"/>
        <s v="CTN4949365901" u="1"/>
        <s v="TRS3421846801" u="1"/>
        <s v="CTN3314365001" u="1"/>
        <s v="TRS3421846901" u="1"/>
        <s v="CTN5706629701" u="1"/>
        <s v="CTN3304403601" u="1"/>
        <s v="CTN3320233201" u="1"/>
        <s v="CTN3328579101" u="1"/>
        <s v="CTN3297751413" u="1"/>
        <s v="CTN5783708801" u="1"/>
        <s v="CTN3297765803" u="1"/>
        <s v="CTN3314448401" u="1"/>
        <s v="CTN3320233801" u="1"/>
        <s v="CTN3308766501" u="1"/>
        <s v="CTN3300597201" u="1"/>
        <s v="CTN3757509201" u="1"/>
        <s v="CTN5777957001" u="1"/>
        <s v="CTN3298708601" u="1"/>
        <s v="TRS3550815101" u="1"/>
        <s v="AFCTN3222190001" u="1"/>
        <s v="TRS3550815201" u="1"/>
        <s v="CTN5923034101" u="1"/>
        <s v="AFCTN5778277501" u="1"/>
        <s v="CTN5777957901" u="1"/>
        <s v="CTN5868914501" u="1"/>
        <s v="CTN3301165701" u="1"/>
        <s v="CTN3301351701" u="1"/>
        <s v="CTN3308949901" u="1"/>
        <s v="CTN3518369601" u="1"/>
        <s v="CTN5755789801" u="1"/>
        <s v="AFCTN3222743601" u="1"/>
        <s v="CTN5755789901" u="1"/>
        <s v="CTN5679185001" u="1"/>
        <s v="CTN5695519001" u="1"/>
        <s v="AFCTN3203025601" u="1"/>
        <s v="AFCTN3215272401" u="1"/>
        <s v="TRS3327826301" u="1"/>
        <s v="CTN1996490202" u="1"/>
        <s v="CTN2007925901" u="1"/>
        <s v="CTN2987531801" u="1"/>
        <s v="CTN5705362701" u="1"/>
        <s v="CTN1692933002" u="1"/>
        <s v="TRS3104305501" u="1"/>
        <s v="TRS3327826401" u="1"/>
        <s v="CTN3295510701" u="1"/>
        <s v="CTN1689450702" u="1"/>
        <s v="CTN1692933102" u="1"/>
        <s v="TRS3104305601" u="1"/>
        <s v="CTN1678405801" u="1"/>
        <s v="CTN1982445601" u="1"/>
        <s v="CTN3068484201" u="1"/>
        <s v="CTN5787441201" u="1"/>
        <s v="CTN1714962601" u="1"/>
        <s v="TRS3104305701" u="1"/>
        <s v="TRS3327826601" u="1"/>
        <s v="CTN3105827601" u="1"/>
        <s v="CTN1707811102" u="1"/>
        <s v="CTN3096348919" u="1"/>
        <s v="CTN1714962701" u="1"/>
        <s v="TRS3104305801" u="1"/>
        <s v="TRS3512247501" u="1"/>
        <s v="TRS3327826701" u="1"/>
        <s v="CTN1720572306" u="1"/>
        <s v="CTN2978400701" u="1"/>
        <s v="CTN1960174702" u="1"/>
        <s v="CTN1717610406" u="1"/>
        <s v="CTN1997450604" u="1"/>
        <s v="CTN1692933402" u="1"/>
        <s v="TRS3104305901" u="1"/>
        <s v="TRS3327826801" u="1"/>
        <s v="CTN3003925801" u="1"/>
        <s v="CTN1967872303" u="1"/>
        <s v="CTN1713513301" u="1"/>
        <s v="CTN1963237103" u="1"/>
        <s v="CTN1687095602" u="1"/>
        <s v="CTN1714962901" u="1"/>
        <s v="TRS3146134101" u="1"/>
        <s v="TRS3327826901" u="1"/>
        <s v="CTN1996450804" u="1"/>
        <s v="CTN5794123501" u="1"/>
        <s v="CTN3299873201" u="1"/>
        <s v="TRS3036802501" u="1"/>
        <s v="CTN3066922801" u="1"/>
        <s v="CTN1972760302" u="1"/>
        <s v="CTN5770207201" u="1"/>
        <s v="TRS3146134201" u="1"/>
        <s v="CTN1996450904" u="1"/>
        <s v="AFCTN3229701801" u="1"/>
        <s v="AFCTN3231956401" u="1"/>
        <s v="CTN1687095802" u="1"/>
        <s v="CTN3100658501" u="1"/>
        <s v="CTN3307033701" u="1"/>
        <s v="CTN3522617402" u="1"/>
        <s v="CTN3068484801" u="1"/>
        <s v="TRS3146134301" u="1"/>
        <s v="CTN1686095902" u="1"/>
        <s v="CTN1695401602" u="1"/>
        <s v="CTN1967223013" u="1"/>
        <s v="CTN1980528801" u="1"/>
        <s v="CTN3286742201" u="1"/>
        <s v="TRS3146134401" u="1"/>
        <s v="CTN1994158005" u="1"/>
        <s v="CTN3154086001" u="1"/>
        <s v="CTN1989625806" u="1"/>
        <s v="CTN3226130801" u="1"/>
        <s v="CTN1977780301" u="1"/>
        <s v="CTN1711513801" u="1"/>
        <s v="CTN1980508902" u="1"/>
        <s v="TRS3104302402" u="1"/>
        <s v="TRS3146134501" u="1"/>
        <s v="CTN2006444904" u="1"/>
        <s v="TRS3015803901" u="1"/>
        <s v="CTN3050370001" u="1"/>
        <s v="CTN3328301101" u="1"/>
        <s v="AFCTN3221812001" u="1"/>
        <s v="CTN1981528901" u="1"/>
        <s v="CTN1983462401" u="1"/>
        <s v="CTN1989236303" u="1"/>
        <s v="CTN1974843002" u="1"/>
        <s v="CTN3100658801" u="1"/>
        <s v="TRS3146134601" u="1"/>
        <s v="CTN3180019401" u="1"/>
        <s v="CTN1961749804" u="1"/>
        <s v="CTN3158086001" u="1"/>
        <s v="CTN3312264101" u="1"/>
        <s v="CTN1965463401" u="1"/>
        <s v="CTN1692930103" u="1"/>
        <s v="TRS3104302602" u="1"/>
        <s v="TRS3146134701" u="1"/>
        <s v="CTN1977897004" u="1"/>
        <s v="CTN1718261501" u="1"/>
        <s v="CTN3314982001" u="1"/>
        <s v="CTN3298424301" u="1"/>
        <s v="TRS3146134801" u="1"/>
        <s v="CTN1977780701" u="1"/>
        <s v="CTN2013275410" u="1"/>
        <s v="CTN1966995601" u="1"/>
        <s v="CTN5755142201" u="1"/>
        <s v="CTN1988508902" u="1"/>
        <s v="CTN1980505303" u="1"/>
        <s v="CTN1994378308" u="1"/>
        <s v="TRS3146134901" u="1"/>
        <s v="CTN3169907901" u="1"/>
        <s v="CTN1974331301" u="1"/>
        <s v="CTN1984087102" u="1"/>
        <s v="CTN3176271201" u="1"/>
        <s v="CTN1997842202" u="1"/>
        <s v="CTN3137087401" u="1"/>
        <s v="CTN3101143101" u="1"/>
        <s v="TRS3104302902" u="1"/>
        <s v="CTN1974331401" u="1"/>
        <s v="CTN3089649301" u="1"/>
        <s v="CTN3176271301" u="1"/>
        <s v="CTN1973863501" u="1"/>
        <s v="CTN3227745801" u="1"/>
        <s v="CTN1977179504" u="1"/>
        <s v="CTN2001344114" u="1"/>
        <s v="CTN3133273501" u="1"/>
        <s v="CTN1968506103" u="1"/>
        <s v="CTN1967878211" u="1"/>
        <s v="CTN1967901801" u="1"/>
        <s v="CTN1973151610" u="1"/>
        <s v="CTN3137087601" u="1"/>
        <s v="CTN3210445101" u="1"/>
        <s v="TRS3013820701" u="1"/>
        <s v="AFCTN3229420501" u="1"/>
        <s v="CTN1702745401" u="1"/>
        <s v="CTN1980493305" u="1"/>
        <s v="CTN1974331701" u="1"/>
        <s v="TRS3013820801" u="1"/>
        <s v="CTN3229493801" u="1"/>
        <s v="CTN3290810905" u="1"/>
        <s v="TRS3421845001" u="1"/>
        <s v="CTN3326132301" u="1"/>
        <s v="CTN1713092701" u="1"/>
        <s v="TRS3421845101" u="1"/>
        <s v="CTN1983213605" u="1"/>
        <s v="CTN1694335501" u="1"/>
        <s v="TRS3421845201" u="1"/>
        <s v="CTN1689447702" u="1"/>
        <s v="CTN1983525902" u="1"/>
        <s v="CTN1695472904" u="1"/>
        <s v="CTN2012778503" u="1"/>
        <s v="CTN1736646204" u="1"/>
        <s v="CTN2010692204" u="1"/>
        <s v="TRS3421845301" u="1"/>
        <s v="CTN3373427001" u="1"/>
        <s v="CTN1973142402" u="1"/>
        <s v="CTN3068584701" u="1"/>
        <s v="CTN5682284201" u="1"/>
        <s v="TRS3421845401" u="1"/>
        <s v="CTN1968480401" u="1"/>
        <s v="CTN2002510801" u="1"/>
        <s v="CTN3289167912" u="1"/>
        <s v="CTN5735226601" u="1"/>
        <s v="CTN1976694401" u="1"/>
        <s v="TRS3421845501" u="1"/>
        <s v="CTN1688155804" u="1"/>
        <s v="CTN1968480501" u="1"/>
        <s v="CTN1995945701" u="1"/>
        <s v="CTN2002510901" u="1"/>
        <s v="TRS3033733001" u="1"/>
        <s v="TRS3421845601" u="1"/>
        <s v="TRS3033733101" u="1"/>
        <s v="CTN1702078304" u="1"/>
        <s v="CTN3373427301" u="1"/>
        <s v="CTN5883274401" u="1"/>
        <s v="CTN1713521307" u="1"/>
        <s v="CTN1973225102" u="1"/>
        <s v="CTN3308748301" u="1"/>
        <s v="CTN1972614805" u="1"/>
        <s v="TRS5680014901" u="1"/>
        <s v="CTN5786372201" u="1"/>
        <s v="TRS3421845701" u="1"/>
        <s v="TRS3033733201" u="1"/>
        <s v="CTN5883274501" u="1"/>
        <s v="CTN3420835701" u="1"/>
        <s v="CTN3098534101" u="1"/>
        <s v="TRS3421845801" u="1"/>
        <s v="TRS3033733301" u="1"/>
        <s v="CTN1969597204" u="1"/>
        <s v="CTN1973860702" u="1"/>
        <s v="CTN1987316504" u="1"/>
        <s v="CTN5883274601" u="1"/>
        <s v="CTN2007321202" u="1"/>
        <s v="CTN3075003301" u="1"/>
        <s v="TRS3421845901" u="1"/>
        <s v="CTN3138187101" u="1"/>
        <s v="TRS3033733401" u="1"/>
        <s v="CTN1709098303" u="1"/>
        <s v="CTN2009321202" u="1"/>
        <s v="CTN1702742502" u="1"/>
        <s v="CTN2010692904" u="1"/>
        <s v="CTN2014472715" u="1"/>
        <s v="CTN3060321901" u="1"/>
        <s v="TRS3033733501" u="1"/>
        <s v="CTN1989628801" u="1"/>
        <s v="CTN1995942202" u="1"/>
        <s v="CTN3298524401" u="1"/>
        <s v="CTN1988502504" u="1"/>
        <s v="CTN1967869803" u="1"/>
        <s v="CTN3314364301" u="1"/>
        <s v="TRS3033733601" u="1"/>
        <s v="CTN1989628901" u="1"/>
        <s v="CTN2015735206" u="1"/>
        <s v="CTN3121691701" u="1"/>
        <s v="CTN3215276401" u="1"/>
        <s v="CTN1996873906" u="1"/>
        <s v="TRS3033733701" u="1"/>
        <s v="CTN3064152101" u="1"/>
        <s v="CTN3021154301" u="1"/>
        <s v="CTN1996498407" u="1"/>
        <s v="CTN3096348901" u="1"/>
        <s v="CTN3320764301" u="1"/>
        <s v="CTN3056098701" u="1"/>
        <s v="TRS3033733801" u="1"/>
        <s v="CTN3304233101" u="1"/>
        <s v="CTN1699752009" u="1"/>
        <s v="CTN1701470703" u="1"/>
        <s v="CTN3096617201" u="1"/>
        <s v="CTN3150707401" u="1"/>
        <s v="CTN3298524701" u="1"/>
        <s v="CTN2002498402" u="1"/>
        <s v="CTN1718258601" u="1"/>
        <s v="CTN1980353403" u="1"/>
        <s v="TRS3033733901" u="1"/>
        <s v="CTN1971748008" u="1"/>
        <s v="CTN1989645201" u="1"/>
        <s v="AFCTN3229619901" u="1"/>
        <s v="CTN1702061101" u="1"/>
        <s v="CTN1979611206" u="1"/>
        <s v="CTN1996922603" u="1"/>
        <s v="CTN1720572302" u="1"/>
        <s v="CTN3153987201" u="1"/>
        <s v="CTN1989645301" u="1"/>
        <s v="CTN3047499501" u="1"/>
        <s v="CTN2015077803" u="1"/>
        <s v="CTN1964652410" u="1"/>
        <s v="CTN3038537901" u="1"/>
        <s v="CTN3298524901" u="1"/>
        <s v="CTN1679605901" u="1"/>
        <s v="CTN1977871307" u="1"/>
        <s v="CTN1989645401" u="1"/>
        <s v="CTN2013618402" u="1"/>
        <s v="CTN3209594901" u="1"/>
        <s v="CTN3214900801" u="1"/>
        <s v="TRS3100522001" u="1"/>
        <s v="CTN1968520104" u="1"/>
        <s v="CTN2000215003" u="1"/>
        <s v="CTN1989645501" u="1"/>
        <s v="TRS3141520001" u="1"/>
        <s v="CTN1671184401" u="1"/>
        <s v="TRS3100522101" u="1"/>
        <s v="CTN1978514201" u="1"/>
        <s v="CTN3518185001" u="1"/>
        <s v="CTN1943458102" u="1"/>
        <s v="CTN1989393401" u="1"/>
        <s v="CTN3154987501" u="1"/>
        <s v="CTN5870309201" u="1"/>
        <s v="TRS3100522201" u="1"/>
        <s v="CTN1982573606" u="1"/>
        <s v="CTN1996450814" u="1"/>
        <s v="CTN3020340801" u="1"/>
        <s v="CTN2011772205" u="1"/>
        <s v="TRS3068963001" u="1"/>
        <s v="CTN2952778701" u="1"/>
        <s v="CTN5790686001" u="1"/>
        <s v="TRS3100522301" u="1"/>
        <s v="CTN1699747512" u="1"/>
        <s v="CTN1964580601" u="1"/>
        <s v="CTN1994158001" u="1"/>
        <s v="CTN3101858401" u="1"/>
        <s v="CTN1721649207" u="1"/>
        <s v="CTN1984130001" u="1"/>
        <s v="CTN1989625802" u="1"/>
        <s v="CTN3305596001" u="1"/>
        <s v="TRS3068963101" u="1"/>
        <s v="CTN1979262201" u="1"/>
        <s v="CTN3311195601" u="1"/>
        <s v="TRS3100522401" u="1"/>
        <s v="CTN1982456402" u="1"/>
        <s v="CTN1694303409" u="1"/>
        <s v="CTN1712235603" u="1"/>
        <s v="CTN3020171201" u="1"/>
        <s v="CTN1711507902" u="1"/>
        <s v="CTN2989376901" u="1"/>
        <s v="CTN3313447801" u="1"/>
        <s v="TRS3100522501" u="1"/>
        <s v="CTN2014469101" u="1"/>
        <s v="CTN3130007401" u="1"/>
        <s v="CTN1697704001" u="1"/>
        <s v="CTN3758508101" u="1"/>
        <s v="TRS3100522601" u="1"/>
        <s v="CTN3374089301" u="1"/>
        <s v="CTN1977877001" u="1"/>
        <s v="CTN3053636301" u="1"/>
        <s v="CTN1973139402" u="1"/>
        <s v="CTN3229227401" u="1"/>
        <s v="TRS3100522701" u="1"/>
        <s v="CTN1716527901" u="1"/>
        <s v="CTN1989908406" u="1"/>
        <s v="CTN3138287001" u="1"/>
        <s v="CTN2988113401" u="1"/>
        <s v="CTN3045954501" u="1"/>
        <s v="CTN3130007601" u="1"/>
        <s v="CTN1999261601" u="1"/>
        <s v="TRS3100522801" u="1"/>
        <s v="CTN1668751202" u="1"/>
        <s v="CTN3308502301" u="1"/>
        <s v="CTN1709928501" u="1"/>
        <s v="CTN1987914601" u="1"/>
        <s v="CTN3307848601" u="1"/>
        <s v="CTN3059104201" u="1"/>
        <s v="TRS3100522901" u="1"/>
        <s v="CTN3106409101" u="1"/>
        <s v="CTN1970345601" u="1"/>
        <s v="CTN2001344110" u="1"/>
        <s v="CTN1694349001" u="1"/>
        <s v="TRS3105885001" u="1"/>
        <s v="CTN1984130701" u="1"/>
        <s v="CTN3121688301" u="1"/>
        <s v="CTN1999401708" u="1"/>
        <s v="CTN1709095918" u="1"/>
        <s v="CTN1979262901" u="1"/>
        <s v="CTN1999261901" u="1"/>
        <s v="CTN3127156001" u="1"/>
        <s v="CTN3223244101" u="1"/>
        <s v="CTN3106409301" u="1"/>
        <s v="TRS3105885101" u="1"/>
        <s v="CTN3077383401" u="1"/>
        <s v="TRS3292279401" u="1"/>
        <s v="CTN1699160103" u="1"/>
        <s v="CTN1714621907" u="1"/>
        <s v="CTN1974139902" u="1"/>
        <s v="CTN1980493301" u="1"/>
        <s v="TRS3105885201" u="1"/>
        <s v="CTN1687086904" u="1"/>
        <s v="CTN1690964902" u="1"/>
        <s v="CTN1973156002" u="1"/>
        <s v="TRS3292279501" u="1"/>
        <s v="TRS3105885301" u="1"/>
        <s v="CTN1970342002" u="1"/>
        <s v="CTN1977877701" u="1"/>
        <s v="CTN3005973101" u="1"/>
        <s v="CTN3121688601" u="1"/>
        <s v="CTN1983227505" u="1"/>
        <s v="CTN1973233508" u="1"/>
        <s v="TRS3292279601" u="1"/>
        <s v="CTN3228962001" u="1"/>
        <s v="CTN3032385901" u="1"/>
        <s v="CTN3298372601" u="1"/>
        <s v="TRS3105885401" u="1"/>
        <s v="CTN1983213601" u="1"/>
        <s v="CTN1998676811" u="1"/>
        <s v="TRS3292279701" u="1"/>
        <s v="CTN3520499001" u="1"/>
        <s v="TRS3105885501" u="1"/>
        <s v="CTN1999696810" u="1"/>
        <s v="CTN3510099401" u="1"/>
        <s v="TRS3015811003" u="1"/>
        <s v="CTN2001950303" u="1"/>
        <s v="CTN3213459401" u="1"/>
        <s v="CTN5755239401" u="1"/>
        <s v="TRS3292279801" u="1"/>
        <s v="CTN1714944509" u="1"/>
        <s v="TRS3105885601" u="1"/>
        <s v="CTN3121688901" u="1"/>
        <s v="CTN3167686601" u="1"/>
        <s v="AFCTN3221928401" u="1"/>
        <s v="CTN1698984901" u="1"/>
        <s v="CTN1977176201" u="1"/>
        <s v="TRS3292279901" u="1"/>
        <s v="CTN3228962301" u="1"/>
        <s v="CTN1694349701" u="1"/>
        <s v="CTN3214831101" u="1"/>
        <s v="TRS3105885701" u="1"/>
        <s v="CTN1999427401" u="1"/>
        <s v="CTN1997873202" u="1"/>
        <s v="CTN1998092901" u="1"/>
        <s v="CTN1968829201" u="1"/>
        <s v="CTN5872792401" u="1"/>
        <s v="CTN1694349901" u="1"/>
        <s v="CTN1702736103" u="1"/>
        <s v="CTN1968494601" u="1"/>
        <s v="CTN3073998801" u="1"/>
        <s v="CTN2009524701" u="1"/>
        <s v="CTN3021440901" u="1"/>
        <s v="CTN3065083101" u="1"/>
        <s v="CTN2994427101" u="1"/>
        <s v="CTN1972562405" u="1"/>
        <s v="CTN1981828701" u="1"/>
        <s v="CTN3292006301" u="1"/>
        <s v="CTN1997873402" u="1"/>
        <s v="CTN1721652903" u="1"/>
        <s v="CTN1692935609" u="1"/>
        <s v="CTN3298707901" u="1"/>
        <s v="CTN3056298001" u="1"/>
        <s v="CTN1967912902" u="1"/>
        <s v="CTN1713521317" u="1"/>
        <s v="CTN3229327301" u="1"/>
        <s v="CTN1995115804" u="1"/>
        <s v="CTN1968494901" u="1"/>
        <s v="CTN3308416301" u="1"/>
        <s v="CTN2007330920" u="1"/>
        <s v="CTN3053298301" u="1"/>
        <s v="CTN1697775803" u="1"/>
        <s v="CTN1981845001" u="1"/>
        <s v="CTN1969763201" u="1"/>
        <s v="CTN3149238601" u="1"/>
        <s v="CTN1690898601" u="1"/>
        <s v="CTN1968829701" u="1"/>
        <s v="CTN1996936203" u="1"/>
        <s v="CTN3308696301" u="1"/>
        <s v="TRS3104267001" u="1"/>
        <s v="CTN3056298301" u="1"/>
        <s v="CTN1968829801" u="1"/>
        <s v="CTN1996873902" u="1"/>
        <s v="CTN3305164501" u="1"/>
        <s v="CTN2005023405" u="1"/>
        <s v="TRS3104267101" u="1"/>
        <s v="CTN1982367103" u="1"/>
        <s v="CTN1973230709" u="1"/>
        <s v="TRS3104267201" u="1"/>
        <s v="CTN3168423701" u="1"/>
        <s v="CTN1699752005" u="1"/>
        <s v="CTN1987313001" u="1"/>
        <s v="CTN1968846001" u="1"/>
        <s v="CTN5660940101" u="1"/>
        <s v="CTN1988516804" u="1"/>
        <s v="CTN5662671801" u="1"/>
        <s v="TRS3104267301" u="1"/>
        <s v="CTN5755788601" u="1"/>
        <s v="CTN1971748004" u="1"/>
        <s v="CTN1703716904" u="1"/>
        <s v="CTN2945764001" u="1"/>
        <s v="CTN3305433001" u="1"/>
        <s v="CTN3096348911" u="1"/>
        <s v="CTN1706962601" u="1"/>
        <s v="TRS3104267401" u="1"/>
        <s v="CTN3138387501" u="1"/>
        <s v="CTN1691889007" u="1"/>
        <s v="CTN1977917604" u="1"/>
        <s v="CTN3121974301" u="1"/>
        <s v="CTN1721772102" u="1"/>
        <s v="TRS3104267501" u="1"/>
        <s v="CTN1718258611" u="1"/>
        <s v="CTN1708690402" u="1"/>
        <s v="CTN1977871303" u="1"/>
        <s v="CTN3023540201" u="1"/>
        <s v="CTN1975153603" u="1"/>
        <s v="TRS3104267601" u="1"/>
        <s v="CTN2008077807" u="1"/>
        <s v="TRS3104267701" u="1"/>
        <s v="CTN1708690602" u="1"/>
        <s v="CTN1967554303" u="1"/>
        <s v="TRS3102799901" u="1"/>
        <s v="CTN3229530101" u="1"/>
        <s v="CTN5662568901" u="1"/>
        <s v="CTN1709241002" u="1"/>
        <s v="CTN1982573602" u="1"/>
        <s v="CTN3048353401" u="1"/>
        <s v="CTN1987327605" u="1"/>
        <s v="CTN3229530201" u="1"/>
        <s v="CTN5767310401" u="1"/>
        <s v="CTN1692449801" u="1"/>
        <s v="CTN2006438801" u="1"/>
        <s v="CTN3048353501" u="1"/>
        <s v="AFCTN3213524001" u="1"/>
        <s v="CTN1970350008" u="1"/>
        <s v="CTN1702075701" u="1"/>
        <s v="CTN1715844805" u="1"/>
        <s v="CTN1721649203" u="1"/>
        <s v="CTN3208093301" u="1"/>
        <s v="CTN3073117001" u="1"/>
        <s v="CTN3131310401" u="1"/>
        <s v="CTN1978528501" u="1"/>
        <s v="CTN1688289803" u="1"/>
        <s v="CTN1960594901" u="1"/>
        <s v="CTN1694303405" u="1"/>
        <s v="CTN1978173902" u="1"/>
        <s v="CTN3208093401" u="1"/>
        <s v="CTN3065621001" u="1"/>
        <s v="CTN3229530401" u="1"/>
        <s v="CTN3306247901" u="1"/>
        <s v="CTN1713532908" u="1"/>
        <s v="CTN1685758207" u="1"/>
        <s v="CTN1689681602" u="1"/>
        <s v="CTN2011772601" u="1"/>
        <s v="CTN3126974901" u="1"/>
        <s v="CTN1718270843" u="1"/>
        <s v="TRS3012233901" u="1"/>
        <s v="CTN1968500801" u="1"/>
        <s v="CTN2011772701" u="1"/>
        <s v="CTN3518105701" u="1"/>
        <s v="CTN1705856302" u="1"/>
        <s v="CTN3043519101" u="1"/>
        <s v="CTN3287810105" u="1"/>
        <s v="CTN2011772801" u="1"/>
        <s v="CTN1989384103" u="1"/>
        <s v="CTN2013323101" u="1"/>
        <s v="CTN1698177902" u="1"/>
        <s v="CTN5702330301" u="1"/>
        <s v="CTN2011772901" u="1"/>
        <s v="CTN1983138706" u="1"/>
        <s v="TRS3036781001" u="1"/>
        <s v="CTN3214931801" u="1"/>
        <s v="CTN1722357605" u="1"/>
        <s v="CTN5783715003" u="1"/>
        <s v="CTN2005675404" u="1"/>
        <s v="TRS3036781101" u="1"/>
        <s v="CTN1972599503" u="1"/>
        <s v="CTN1979994801" u="1"/>
        <s v="CTN3308450201" u="1"/>
        <s v="CTN1712212301" u="1"/>
        <s v="CTN5686919301" u="1"/>
        <s v="CTN3100609501" u="1"/>
        <s v="CTN1970339902" u="1"/>
        <s v="CTN1714621903" u="1"/>
        <s v="CTN3061984201" u="1"/>
        <s v="CTN1689970501" u="1"/>
        <s v="CTN3229893501" u="1"/>
        <s v="CTN3051398901" u="1"/>
        <s v="CTN3087451001" u="1"/>
        <s v="TRS3036781401" u="1"/>
        <s v="CTN3348980501" u="1"/>
        <s v="TRS3146179501" u="1"/>
        <s v="CTN3422305908" u="1"/>
        <s v="CTN2007927904" u="1"/>
        <s v="CTN1697120501" u="1"/>
        <s v="CTN2006446007" u="1"/>
        <s v="CTN1699394306" u="1"/>
        <s v="CTN1714944505" u="1"/>
        <s v="CTN1978359901" u="1"/>
        <s v="CTN3320532501" u="1"/>
        <s v="CTN1984381104" u="1"/>
        <s v="CTN1987945401" u="1"/>
        <s v="CTN1707813005" u="1"/>
        <s v="CTN1989407306" u="1"/>
        <s v="CTN5660814703" u="1"/>
        <s v="TRS3036781701" u="1"/>
        <s v="CTN1984381204" u="1"/>
        <s v="CTN1987667307" u="1"/>
        <s v="CTN1983135507" u="1"/>
        <s v="TRS3036781801" u="1"/>
        <s v="CTN1709092801" u="1"/>
        <s v="CTN3066452501" u="1"/>
        <s v="CTN5696077302" u="1"/>
        <s v="CTN1987925602" u="1"/>
        <s v="CTN1962142602" u="1"/>
        <s v="CTN3223089101" u="1"/>
        <s v="TRS3036781901" u="1"/>
        <s v="CTN1972596304" u="1"/>
        <s v="CTN2004369101" u="1"/>
        <s v="CTN3320532801" u="1"/>
        <s v="TRS5787596001" u="1"/>
        <s v="CTN3052135601" u="1"/>
        <s v="TRS5787596101" u="1"/>
        <s v="CTN1692935605" u="1"/>
        <s v="CTN3324801001" u="1"/>
        <s v="CTN1990375801" u="1"/>
        <s v="CTN1996492905" u="1"/>
        <s v="CTN1713521313" u="1"/>
        <s v="CTN1698995402" u="1"/>
        <s v="CTN3223089401" u="1"/>
        <s v="TRS3286348601" u="1"/>
        <s v="CTN3066721101" u="1"/>
        <s v="CTN1662167501" u="1"/>
        <s v="CTN1989407906" u="1"/>
        <s v="CTN1698995502" u="1"/>
        <s v="CTN1967211012" u="1"/>
        <s v="TRS3286348701" u="1"/>
        <s v="CTN3302178501" u="1"/>
        <s v="CTN1987316510" u="1"/>
        <s v="CTN3003538601" u="1"/>
        <s v="CTN1974113101" u="1"/>
        <s v="CTN1987922203" u="1"/>
        <s v="CTN1997438202" u="1"/>
        <s v="CTN1967205403" u="1"/>
        <s v="CTN3066618001" u="1"/>
        <s v="CTN1716529708" u="1"/>
        <s v="CTN2014472721" u="1"/>
        <s v="CTN3305802401" u="1"/>
        <s v="CTN3071403501" u="1"/>
        <s v="CTN1977187202" u="1"/>
        <s v="CTN1996873912" u="1"/>
        <s v="CTN3227275501" u="1"/>
        <s v="CTN3105812601" u="1"/>
        <s v="CTN1977187302" u="1"/>
        <s v="CTN1970347508" u="1"/>
        <s v="CTN1691889003" u="1"/>
        <s v="CTN1981819503" u="1"/>
        <s v="CTN1699752015" u="1"/>
        <s v="CTN3229358001" u="1"/>
        <s v="CTN3102989301" u="1"/>
        <s v="CTN1986690502" u="1"/>
        <s v="CTN1979611212" u="1"/>
        <s v="CTN1987327301" u="1"/>
        <s v="TRS2943190001" u="1"/>
        <s v="CTN1706976801" u="1"/>
        <s v="CTN1727088101" u="1"/>
        <s v="CTN1968514101" u="1"/>
        <s v="CTN3220544401" u="1"/>
        <s v="CTN3226544101" u="1"/>
        <s v="CTN5647955101" u="1"/>
        <s v="CTN1967903804" u="1"/>
        <s v="CTN1967923803" u="1"/>
        <s v="CTN2008077803" u="1"/>
        <s v="CTN3229358201" u="1"/>
        <s v="CTN1986690702" u="1"/>
        <s v="CTN3004555301" u="1"/>
        <s v="CTN3150137401" u="1"/>
        <s v="CTN1987327501" u="1"/>
        <s v="CTN3301447601" u="1"/>
        <s v="CTN3226292101" u="1"/>
        <s v="CTN1969774102" u="1"/>
        <s v="CTN1987327601" u="1"/>
        <s v="CTN1701249507" u="1"/>
        <s v="CTN1705630901" u="1"/>
        <s v="CTN1691912907" u="1"/>
        <s v="CTN1974110002" u="1"/>
        <s v="CTN3175771801" u="1"/>
        <s v="TRS3041394001" u="1"/>
        <s v="CTN3407535401" u="1"/>
        <s v="CTN1694303401" u="1"/>
        <s v="CTN1969588502" u="1"/>
        <s v="TRS3041394101" u="1"/>
        <s v="CTN1671750202" u="1"/>
        <s v="CTN3311129701" u="1"/>
        <s v="CTN1970350018" u="1"/>
        <s v="CTN1969774402" u="1"/>
        <s v="TRS3041394201" u="1"/>
        <s v="CTN1713532904" u="1"/>
        <s v="CTN1983138302" u="1"/>
        <s v="AFCTN3222737201" u="1"/>
        <s v="CTN1962960602" u="1"/>
        <s v="CTN1980524106" u="1"/>
        <s v="CTN3301902101" u="1"/>
        <s v="CTN1699397401" u="1"/>
        <s v="CTN3065197201" u="1"/>
        <s v="CTN1693577606" u="1"/>
        <s v="CTN1722085102" u="1"/>
        <s v="CTN1713532918" u="1"/>
        <s v="CTN1967242702" u="1"/>
        <s v="CTN1960585303" u="1"/>
        <s v="CTN1964585103" u="1"/>
        <s v="CTN1685964202" u="1"/>
        <s v="CTN1999689309" u="1"/>
        <s v="CTN3347994001" u="1"/>
        <s v="CTN1969774702" u="1"/>
        <s v="CTN3125725301" u="1"/>
        <s v="CTN3287810101" u="1"/>
        <s v="CTN1983481804" u="1"/>
        <s v="CTN5682784401" u="1"/>
        <s v="CTN1983138702" u="1"/>
        <s v="CTN1967242902" u="1"/>
        <s v="CTN3080820601" u="1"/>
        <s v="CTN1722357601" u="1"/>
        <s v="CTN1981816704" u="1"/>
        <s v="CTN1974842606" u="1"/>
        <s v="CTN3226813401" u="1"/>
        <s v="CTN3286438801" u="1"/>
        <s v="CTN3100288801" u="1"/>
        <s v="CTN5702330311" u="1"/>
        <s v="CTN2939115801" u="1"/>
        <s v="CTN4942163601" u="1"/>
        <s v="CTN1715835707" u="1"/>
        <s v="CTN1948280101" u="1"/>
        <s v="CTN3221458201" u="1"/>
        <s v="CTN1709095924" u="1"/>
        <s v="CTN1984607006" u="1"/>
        <s v="CTN1977931101" u="1"/>
        <s v="CTN5783154901" u="1"/>
        <s v="CTN1963176101" u="1"/>
        <s v="CTN3099064301" u="1"/>
        <s v="CTN1994692105" u="1"/>
        <s v="CTN3422305904" u="1"/>
        <s v="CTN1709086502" u="1"/>
        <s v="CTN1994329004" u="1"/>
        <s v="CTN2006446003" u="1"/>
        <s v="AFCTN3221403901" u="1"/>
        <s v="CTN1989407202" u="1"/>
        <s v="CTN3065466301" u="1"/>
        <s v="CTN1689452701" u="1"/>
        <s v="CTN3011337101" u="1"/>
        <s v="CTN1983135303" u="1"/>
        <s v="CTN1714944501" u="1"/>
        <s v="CTN1986687202" u="1"/>
        <s v="CTN1996389001" u="1"/>
        <s v="CTN1671853801" u="1"/>
        <s v="CTN1995930501" u="1"/>
        <s v="CTN3037785501" u="1"/>
        <s v="CTN1707813001" u="1"/>
        <s v="CTN1989407302" u="1"/>
        <s v="CTN3221458601" u="1"/>
        <s v="CTN1983135403" u="1"/>
        <s v="CTN1994329204" u="1"/>
        <s v="CTN3066652201" u="1"/>
        <s v="CTN1960259001" u="1"/>
        <s v="CTN3030336301" u="1"/>
        <s v="TRS3102035601" u="1"/>
        <s v="CTN1979985403" u="1"/>
        <s v="CTN1963971707" u="1"/>
        <s v="CTN1987667303" u="1"/>
        <s v="CTN1983135503" u="1"/>
        <s v="CTN1987321103" u="1"/>
        <s v="CTN3094782801" u="1"/>
        <s v="CTN3066652301" u="1"/>
        <s v="CTN3160368901" u="1"/>
        <s v="TRS3102035701" u="1"/>
        <s v="CTN1981853503" u="1"/>
        <s v="CTN1989893101" u="1"/>
        <s v="CTN3011337401" u="1"/>
        <s v="CTN1967213809" u="1"/>
        <s v="CTN1989175301" u="1"/>
        <s v="CTN1702984907" u="1"/>
        <s v="CTN2994661801" u="1"/>
        <s v="CTN3066652401" u="1"/>
        <s v="TRS3102035801" u="1"/>
        <s v="CTN3003907801" u="1"/>
        <s v="TRS3219597002" u="1"/>
        <s v="CTN1667244403" u="1"/>
        <s v="CTN3097250801" u="1"/>
        <s v="CTN3107491101" u="1"/>
        <s v="TRS3104304001" u="1"/>
        <s v="TRS3102035901" u="1"/>
        <s v="CTN3758124901" u="1"/>
        <s v="CTN3011337601" u="1"/>
        <s v="CTN1687097701" u="1"/>
        <s v="CTN1973230201" u="1"/>
        <s v="CTN3053083301" u="1"/>
        <s v="CTN1990389801" u="1"/>
        <s v="CTN3066652601" u="1"/>
        <s v="TRS3104304101" u="1"/>
        <s v="CTN1698580702" u="1"/>
        <s v="CTN1970464208" u="1"/>
        <s v="TRS3327825001" u="1"/>
        <s v="CTN1971742402" u="1"/>
        <s v="CTN3169740401" u="1"/>
        <s v="CTN3100826301" u="1"/>
        <s v="CTN3090602001" u="1"/>
        <s v="TRS3104304201" u="1"/>
        <s v="TRS3327825101" u="1"/>
        <s v="CTN2758410101" u="1"/>
        <s v="CTN1989407902" u="1"/>
        <s v="CTN3083651901" u="1"/>
        <s v="CTN3127556801" u="1"/>
        <s v="CTN1721554706" u="1"/>
        <s v="CTN3068652701" u="1"/>
        <s v="CTN3758673201" u="1"/>
        <s v="TRS3104304301" u="1"/>
        <s v="TRS3327825201" u="1"/>
        <s v="CTN1710306002" u="1"/>
        <s v="CTN1996389801" u="1"/>
        <s v="TRS3104304401" u="1"/>
        <s v="TRS3327825301" u="1"/>
        <s v="TRS3104304501" u="1"/>
        <s v="CTN1964631201" u="1"/>
        <s v="TRS3327825401" u="1"/>
        <s v="CTN1958231401" u="1"/>
        <s v="CTN1977902308" u="1"/>
        <s v="CTN3083548801" u="1"/>
        <s v="CTN1973230701" u="1"/>
        <s v="CTN2993043101" u="1"/>
        <s v="TRS3104304601" u="1"/>
        <s v="TRS3327825501" u="1"/>
        <s v="CTN3307378401" u="1"/>
        <s v="CTN3311432101" u="1"/>
        <s v="CTN5754842001" u="1"/>
        <s v="TRS3104304701" u="1"/>
        <s v="TRS3327825601" u="1"/>
        <s v="CTN2993389501" u="1"/>
        <s v="CTN1989404403" u="1"/>
        <s v="CTN3304816701" u="1"/>
        <s v="CTN3096602301" u="1"/>
        <s v="TRS3104304801" u="1"/>
        <s v="TRS3327825701" u="1"/>
        <s v="CTN3125908101" u="1"/>
        <s v="CTN1699752011" u="1"/>
        <s v="CTN6057870701" u="1"/>
        <s v="CTN1708678404" u="1"/>
        <s v="TRS3095789001" u="1"/>
        <s v="TRS3104304901" u="1"/>
        <s v="CTN2014437501" u="1"/>
        <s v="TRS3327825801" u="1"/>
        <s v="CTN2950128001" u="1"/>
        <s v="CTN3292340401" u="1"/>
        <s v="CTN2007838001" u="1"/>
        <s v="CTN3111508801" u="1"/>
        <s v="CTN3167468101" u="1"/>
        <s v="CTN3307378701" u="1"/>
        <s v="CTN1690912603" u="1"/>
        <s v="TRS3095789101" u="1"/>
        <s v="TRS3327825901" u="1"/>
        <s v="CTN1960167907" u="1"/>
        <s v="CTN2950128101" u="1"/>
        <s v="CTN1965479904" u="1"/>
        <s v="CTN1989630501" u="1"/>
        <s v="CTN1980527601" u="1"/>
        <s v="CTN1987956902" u="1"/>
        <s v="CTN1692926707" u="1"/>
        <s v="CTN1699420301" u="1"/>
        <s v="CTN1984089501" u="1"/>
        <s v="CTN3074351601" u="1"/>
        <s v="CTN3178253501" u="1"/>
        <s v="CTN1691880406" u="1"/>
        <s v="CTN3107760601" u="1"/>
        <s v="CTN1661138604" u="1"/>
        <s v="CTN1701249503" u="1"/>
        <s v="CTN1966994101" u="1"/>
        <s v="CTN1690880506" u="1"/>
        <s v="CTN1974313801" u="1"/>
        <s v="CTN3138255601" u="1"/>
        <s v="CTN1691912903" u="1"/>
        <s v="CTN3155972601" u="1"/>
        <s v="CTN1974839906" u="1"/>
        <s v="CTN1974313901" u="1"/>
        <s v="CTN3311795101" u="1"/>
        <s v="CTN4949701901" u="1"/>
        <s v="CTN1995103103" u="1"/>
        <s v="CTN3215175001" u="1"/>
        <s v="CTN1970350014" u="1"/>
        <s v="CTN1974330001" u="1"/>
        <s v="CTN1701558001" u="1"/>
        <s v="CTN5682967901" u="1"/>
        <s v="CTN3074966401" u="1"/>
        <s v="CTN1694303411" u="1"/>
        <s v="CTN1980524102" u="1"/>
        <s v="CTN5786271401" u="1"/>
        <s v="CTN1719838902" u="1"/>
        <s v="CTN1973862201" u="1"/>
        <s v="CTN3340831801" u="1"/>
        <s v="CTN1974330201" u="1"/>
        <s v="CTN1713532914" u="1"/>
        <s v="CTN3012437701" u="1"/>
        <s v="CTN3182484201" u="1"/>
        <s v="CTN1974330301" u="1"/>
        <s v="CTN3065649401" u="1"/>
        <s v="CTN1973862401" u="1"/>
        <s v="CTN1979593901" u="1"/>
        <s v="CTN1967236803" u="1"/>
        <s v="CTN1690963506" u="1"/>
        <s v="CTN1702987902" u="1"/>
        <s v="CTN3068835101" u="1"/>
        <s v="CTN3210427901" u="1"/>
        <s v="CTN1709967603" u="1"/>
        <s v="CTN1974330401" u="1"/>
        <s v="CTN4815780101" u="1"/>
        <s v="CTN3182484401" u="1"/>
        <s v="CTN1702987916" u="1"/>
        <s v="CTN1974842602" u="1"/>
        <s v="CTN2994592601" u="1"/>
        <s v="TRS3075993001" u="1"/>
        <s v="CTN3176270501" u="1"/>
        <s v="CTN1699783501" u="1"/>
        <s v="CTN1701558601" u="1"/>
        <s v="CTN3223389601" u="1"/>
        <s v="CTN1695411507" u="1"/>
        <s v="CTN1995103803" u="1"/>
        <s v="CTN3068649601" u="1"/>
        <s v="CTN3068835401" u="1"/>
        <s v="CTN3307132101" u="1"/>
        <s v="TRS3219949902" u="1"/>
        <s v="CTN1980358901" u="1"/>
        <s v="CTN1981816714" u="1"/>
        <s v="CTN1974144901" u="1"/>
        <s v="CTN3065649801" u="1"/>
        <s v="CTN3314263701" u="1"/>
        <s v="CTN2005675410" u="1"/>
        <s v="CTN1999401710" u="1"/>
        <s v="CTN2015517202" u="1"/>
        <s v="CTN1694903709" u="1"/>
        <s v="CTN1701472302" u="1"/>
        <s v="CTN3068649701" u="1"/>
        <s v="CTN3068835501" u="1"/>
        <s v="CTN1984607002" u="1"/>
        <s v="CTN3348662201" u="1"/>
        <s v="TRS3075993201" u="1"/>
        <s v="TRS3421844001" u="1"/>
        <s v="CTN1676232802" u="1"/>
        <s v="CTN1977925102" u="1"/>
        <s v="CTN1987412109" u="1"/>
        <s v="CTN3068649801" u="1"/>
        <s v="CTN3133272901" u="1"/>
        <s v="CTN1934864901" u="1"/>
        <s v="CTN1974842902" u="1"/>
        <s v="CTN1984607102" u="1"/>
        <s v="CTN1994692101" u="1"/>
        <s v="TRS3075993301" u="1"/>
        <s v="TRS3421844101" u="1"/>
        <s v="CTN2991861301" u="1"/>
        <s v="CTN5700012701" u="1"/>
        <s v="CTN1722743701" u="1"/>
        <s v="CTN3320663801" u="1"/>
        <s v="TRS3421844201" u="1"/>
        <s v="CTN3129925601" u="1"/>
        <s v="CTN3068918201" u="1"/>
        <s v="AFCTN3208376401" u="1"/>
        <s v="CTN3292068901" u="1"/>
        <s v="TRS3421844301" u="1"/>
        <s v="CTN1688300406" u="1"/>
        <s v="CTN1967888002" u="1"/>
        <s v="CTN3219976201" u="1"/>
        <s v="CTN1971647508" u="1"/>
        <s v="CTN1977544809" u="1"/>
        <s v="CTN3127673601" u="1"/>
        <s v="CTN3068583701" u="1"/>
        <s v="CTN3292440601" u="1"/>
        <s v="TRS3421844401" u="1"/>
        <s v="CTN3169923801" u="1"/>
        <s v="CTN3324131801" u="1"/>
        <s v="CTN3068918401" u="1"/>
        <s v="CTN3137169701" u="1"/>
        <s v="CTN3137355501" u="1"/>
        <s v="CTN2015079702" u="1"/>
        <s v="CTN3215192301" u="1"/>
        <s v="TRS3421844501" u="1"/>
        <s v="CTN1711666703" u="1"/>
        <s v="CTN1967213805" u="1"/>
        <s v="TRS3421844601" u="1"/>
        <s v="CTN1967888302" u="1"/>
        <s v="CTN3047853201" u="1"/>
        <s v="AFCTN3222915101" u="1"/>
        <s v="CTN1994692701" u="1"/>
        <s v="CTN1688297401" u="1"/>
        <s v="CTN1690179405" u="1"/>
        <s v="CTN1988189501" u="1"/>
        <s v="TRS3421844701" u="1"/>
        <s v="CTN1979613505" u="1"/>
        <s v="CTN3169671901" u="1"/>
        <s v="CTN1699159006" u="1"/>
        <s v="CTN2951331901" u="1"/>
        <s v="CTN3033098301" u="1"/>
        <s v="CTN2009320002" u="1"/>
        <s v="CTN3130438601" u="1"/>
        <s v="CTN1968522203" u="1"/>
        <s v="TRS3421844801" u="1"/>
        <s v="CTN3410182901" u="1"/>
        <s v="CTN3298972801" u="1"/>
        <s v="CTN1720574701" u="1"/>
        <s v="CTN1968522303" u="1"/>
        <s v="TRS3421844901" u="1"/>
        <s v="CTN1969596304" u="1"/>
        <s v="CTN2001686801" u="1"/>
        <s v="CTN1721554702" u="1"/>
        <s v="CTN1971650104" u="1"/>
        <s v="CTN1718257201" u="1"/>
        <s v="CTN2015734106" u="1"/>
        <s v="CTN2001340701" u="1"/>
        <s v="CTN1690228202" u="1"/>
        <s v="CTN1982366007" u="1"/>
        <s v="CTN5682283901" u="1"/>
        <s v="TRS3043880001" u="1"/>
        <s v="CTN1979962101" u="1"/>
        <s v="CTN3324448808" u="1"/>
        <s v="CTN1698179505" u="1"/>
        <s v="CTN2946377101" u="1"/>
        <s v="CTN1967868903" u="1"/>
        <s v="TRS3033732701" u="1"/>
        <s v="CTN1977902304" u="1"/>
        <s v="CTN3300232201" u="1"/>
        <s v="CTN3373426901" u="1"/>
        <s v="CTN1973224702" u="1"/>
        <s v="CTN2004915203" u="1"/>
        <s v="CTN1982366207" u="1"/>
        <s v="CTN1694351601" u="1"/>
        <s v="TRS3033732801" u="1"/>
        <s v="CTN1692926203" u="1"/>
        <s v="CTN1709097703" u="1"/>
        <s v="CTN2015076603" u="1"/>
        <s v="CTN3053003901" u="1"/>
        <s v="CTN3077002701" u="1"/>
        <s v="CTN3758687601" u="1"/>
        <s v="CTN3758407801" u="1"/>
        <s v="CTN1979996404" u="1"/>
        <s v="CTN1995935607" u="1"/>
        <s v="CTN3070282901" u="1"/>
        <s v="TRS3033732901" u="1"/>
        <s v="CTN1995941602" u="1"/>
        <s v="CTN1989243609" u="1"/>
        <s v="CTN3115187801" u="1"/>
        <s v="CTN1714955702" u="1"/>
        <s v="CTN1996423606" u="1"/>
        <s v="CTN1646482102" u="1"/>
        <s v="CTN3153986201" u="1"/>
        <s v="CTN2996160601" u="1"/>
        <s v="CTN1709097903" u="1"/>
        <s v="CTN3758687801" u="1"/>
        <s v="CTN3111456401" u="1"/>
        <s v="TRS3100521001" u="1"/>
        <s v="CTN1691906604" u="1"/>
        <s v="CTN1960167903" u="1"/>
        <s v="CTN3169837701" u="1"/>
        <s v="CTN1693654304" u="1"/>
        <s v="TRS3100521101" u="1"/>
        <s v="CTN3169837801" u="1"/>
        <s v="CTN1692926703" u="1"/>
        <s v="TRS3100521201" u="1"/>
        <s v="CTN1982455202" u="1"/>
        <s v="TRS3095812701" u="1"/>
        <s v="CTN3175985501" u="1"/>
        <s v="CTN1691880402" u="1"/>
        <s v="CTN2011771205" u="1"/>
        <s v="CTN1690880502" u="1"/>
        <s v="TRS3100521301" u="1"/>
        <s v="CTN1718506402" u="1"/>
        <s v="TRS3095812801" u="1"/>
        <s v="CTN3064234301" u="1"/>
        <s v="CTN2001952102" u="1"/>
        <s v="TRS3068962101" u="1"/>
        <s v="CTN1994409301" u="1"/>
        <s v="TRS3100521401" u="1"/>
        <s v="CTN3127856201" u="1"/>
        <s v="CTN2001952202" u="1"/>
        <s v="CTN1999474109" u="1"/>
        <s v="TRS3068962201" u="1"/>
        <s v="TRS3100521501" u="1"/>
        <s v="CTN1718506602" u="1"/>
        <s v="CTN1688303301" u="1"/>
        <s v="TRS3295550801" u="1"/>
        <s v="CTN1717609101" u="1"/>
        <s v="CTN3133538301" u="1"/>
        <s v="TRS3068962301" u="1"/>
        <s v="TRS3100521601" u="1"/>
        <s v="CTN1974138302" u="1"/>
        <s v="CTN1982363208" u="1"/>
        <s v="CTN3060234801" u="1"/>
        <s v="CTN1974075901" u="1"/>
        <s v="CTN1935981501" u="1"/>
        <s v="CTN2001952402" u="1"/>
        <s v="CTN3314100701" u="1"/>
        <s v="TRS3068962401" u="1"/>
        <s v="CTN3131006501" u="1"/>
        <s v="CTN1708689205" u="1"/>
        <s v="TRS3100521701" u="1"/>
        <s v="CTN1970481804" u="1"/>
        <s v="CTN3060234901" u="1"/>
        <s v="CTN1987675305" u="1"/>
        <s v="CTN2001952502" u="1"/>
        <s v="TRS3068962501" u="1"/>
        <s v="CTN1973158501" u="1"/>
        <s v="CTN1692923304" u="1"/>
        <s v="CTN5916865001" u="1"/>
        <s v="CTN3229160101" u="1"/>
        <s v="TRS3100521801" u="1"/>
        <s v="CTN1978513901" u="1"/>
        <s v="CTN3076196301" u="1"/>
        <s v="CTN3222412701" u="1"/>
        <s v="CTN3173619001" u="1"/>
        <s v="CTN1974092101" u="1"/>
        <s v="CTN2001952602" u="1"/>
        <s v="TRS3068962601" u="1"/>
        <s v="CTN1973158601" u="1"/>
        <s v="CTN2003337101" u="1"/>
        <s v="CTN1690963502" u="1"/>
        <s v="CTN3326846701" u="1"/>
        <s v="TRS3100521901" u="1"/>
        <s v="CTN1974158601" u="1"/>
        <s v="CTN3050197701" u="1"/>
        <s v="CTN3138286201" u="1"/>
        <s v="CTN3421934901" u="1"/>
        <s v="TRS3068962701" u="1"/>
        <s v="CTN1722757201" u="1"/>
        <s v="CTN1692451501" u="1"/>
        <s v="CTN1974304503" u="1"/>
        <s v="TRS3068962801" u="1"/>
        <s v="CTN2007234702" u="1"/>
        <s v="CTN5726660501" u="1"/>
        <s v="CTN1964453003" u="1"/>
        <s v="CTN2946394701" u="1"/>
        <s v="CTN3050197901" u="1"/>
        <s v="CTN1709927801" u="1"/>
        <s v="CTN1988212001" u="1"/>
        <s v="CTN4949546801" u="1"/>
        <s v="CTN1987661701" u="1"/>
        <s v="CTN3305595801" u="1"/>
        <s v="TRS3068962901" u="1"/>
        <s v="CTN1694348201" u="1"/>
        <s v="CTN3308595701" u="1"/>
        <s v="CTN1974138902" u="1"/>
        <s v="CTN1981816710" u="1"/>
        <s v="CTN1977876601" u="1"/>
        <s v="CTN3005972001" u="1"/>
        <s v="CTN6055349201" u="1"/>
        <s v="CTN3229692601" u="1"/>
        <s v="CTN2003337501" u="1"/>
        <s v="CTN1694903705" u="1"/>
        <s v="CTN5734688801" u="1"/>
        <s v="CTN1977524506" u="1"/>
        <s v="CTN1987412105" u="1"/>
        <s v="CTN1694348401" u="1"/>
        <s v="CTN1983538802" u="1"/>
        <s v="CTN3345862301" u="1"/>
        <s v="CTN3127790801" u="1"/>
        <s v="CTN1694903719" u="1"/>
        <s v="CTN2013299301" u="1"/>
        <s v="CTN3229243201" u="1"/>
        <s v="CTN2952980701" u="1"/>
        <s v="CTN1983538902" u="1"/>
        <s v="CTN2009517306" u="1"/>
        <s v="CTN1965473402" u="1"/>
        <s v="CTN1996938402" u="1"/>
        <s v="CTN1973135303" u="1"/>
        <s v="CTN3229243301" u="1"/>
        <s v="CTN3214830001" u="1"/>
        <s v="CTN3422305910" u="1"/>
        <s v="CTN1688300402" u="1"/>
        <s v="CTN1729757501" u="1"/>
        <s v="CTN1971647504" u="1"/>
        <s v="CTN1977544805" u="1"/>
        <s v="CTN3106408901" u="1"/>
        <s v="CTN3127939901" u="1"/>
        <s v="CTN2007869801" u="1"/>
        <s v="CTN1690877002" u="1"/>
        <s v="CTN3229243501" u="1"/>
        <s v="CTN1967213801" u="1"/>
        <s v="CTN1690920505" u="1"/>
        <s v="CTN1982492901" u="1"/>
        <s v="CTN3106342701" u="1"/>
        <s v="CTN1695482305" u="1"/>
        <s v="CTN1968828301" u="1"/>
        <s v="CTN1690179401" u="1"/>
        <s v="CTN1716514208" u="1"/>
        <s v="CTN2004334202" u="1"/>
        <s v="CTN2008079806" u="1"/>
        <s v="CTN1699159002" u="1"/>
        <s v="CTN2994426201" u="1"/>
        <s v="CTN3047335401" u="1"/>
        <s v="CTN2007334202" u="1"/>
        <s v="TRS3068959001" u="1"/>
        <s v="CTN1689683201" u="1"/>
        <s v="CTN1721774501" u="1"/>
        <s v="CTN3011299401" u="1"/>
        <s v="CTN5686818001" u="1"/>
        <s v="CTN2993174201" u="1"/>
        <s v="CTN3051203401" u="1"/>
        <s v="CTN3214830701" u="1"/>
        <s v="CTN3308415401" u="1"/>
        <s v="CTN3062165001" u="1"/>
        <s v="CTN1715846804" u="1"/>
        <s v="CTN3229326501" u="1"/>
        <s v="CTN1949231201" u="1"/>
        <s v="CTN3060417401" u="1"/>
        <s v="TRS3104266001" u="1"/>
        <s v="CTN1982366003" u="1"/>
        <s v="TRS3043894001" u="1"/>
        <s v="TRS3225679102" u="1"/>
        <s v="AFCTN3194664901" u="1"/>
        <s v="CTN1964450304" u="1"/>
        <s v="CTN3082164101" u="1"/>
        <s v="CTN1977781408" u="1"/>
        <s v="CTN3307229801" u="1"/>
        <s v="CTN2009334402" u="1"/>
        <s v="CTN3077016501" u="1"/>
        <s v="CTN1701243701" u="1"/>
        <s v="CTN3324448804" u="1"/>
        <s v="TRS3104266101" u="1"/>
        <s v="CTN1698179501" u="1"/>
        <s v="CTN3138386201" u="1"/>
        <s v="TRS3043894101" u="1"/>
        <s v="TRS3068959301" u="1"/>
        <s v="CTN1714111201" u="1"/>
        <s v="CTN3311377601" u="1"/>
        <s v="CTN3031018901" u="1"/>
        <s v="CTN1692448101" u="1"/>
        <s v="CTN1982366017" u="1"/>
        <s v="TRS3104266201" u="1"/>
        <s v="CTN1982366203" u="1"/>
        <s v="TRS3043894201" u="1"/>
        <s v="CTN3064351001" u="1"/>
        <s v="CTN1688151601" u="1"/>
        <s v="CTN1698994906" u="1"/>
        <s v="CTN1692448201" u="1"/>
        <s v="CTN1714960609" u="1"/>
        <s v="TRS3104266301" u="1"/>
        <s v="CTN3294285701" u="1"/>
        <s v="TRS3043894301" u="1"/>
        <s v="CTN1977902314" u="1"/>
        <s v="CTN1995935603" u="1"/>
        <s v="CTN1971747004" u="1"/>
        <s v="CTN2007866802" u="1"/>
        <s v="CTN2005677103" u="1"/>
        <s v="CTN3229326901" u="1"/>
        <s v="CTN5791253801" u="1"/>
        <s v="CTN1989243605" u="1"/>
        <s v="CTN1968845101" u="1"/>
        <s v="CTN3046884101" u="1"/>
        <s v="TRS3104266401" u="1"/>
        <s v="CTN1982366403" u="1"/>
        <s v="CTN1996423602" u="1"/>
        <s v="CTN3138386501" u="1"/>
        <s v="TRS3043894401" u="1"/>
        <s v="CTN1971644705" u="1"/>
        <s v="CTN1692448401" u="1"/>
        <s v="TRS3104266501" u="1"/>
        <s v="CTN1686680002" u="1"/>
        <s v="TRS3043894501" u="1"/>
        <s v="CTN3214026101" u="1"/>
        <s v="CTN3219913501" u="1"/>
        <s v="CTN3005606501" u="1"/>
        <s v="CTN1983512305" u="1"/>
        <s v="CTN1698897801" u="1"/>
        <s v="CTN1692448501" u="1"/>
        <s v="TRS3104266601" u="1"/>
        <s v="TRS3043894601" u="1"/>
        <s v="CTN3006168501" u="1"/>
        <s v="CTN3060165801" u="1"/>
        <s v="CTN3518172908" u="1"/>
        <s v="CTN1702074401" u="1"/>
        <s v="CTN3104788601" u="1"/>
        <s v="CTN1937100601" u="1"/>
        <s v="TRS3104266701" u="1"/>
        <s v="TRS3043894701" u="1"/>
        <s v="CTN1981818807" u="1"/>
        <s v="CTN3005606701" u="1"/>
        <s v="CTN1721771402" u="1"/>
        <s v="CTN3286938901" u="1"/>
        <s v="CTN1681420701" u="1"/>
        <s v="CTN1998677708" u="1"/>
        <s v="CTN2993191101" u="1"/>
        <s v="TRS3104266801" u="1"/>
        <s v="TRS3043894801" u="1"/>
        <s v="CTN2948045501" u="1"/>
        <s v="CTN2995509701" u="1"/>
        <s v="CTN2011771201" u="1"/>
        <s v="CTN2015399401" u="1"/>
        <s v="CTN3305432501" u="1"/>
        <s v="TRS3104266901" u="1"/>
        <s v="TRS3043894901" u="1"/>
        <s v="CTN1977870703" u="1"/>
        <s v="CTN1689454504" u="1"/>
        <s v="CTN3105339201" u="1"/>
        <s v="CTN3104788901" u="1"/>
        <s v="CTN3292199101" u="1"/>
        <s v="AFCTN3226574801" u="1"/>
        <s v="CTN3308432501" u="1"/>
        <s v="CTN1987689005" u="1"/>
        <s v="CTN1999474105" u="1"/>
        <s v="CTN3105339301" u="1"/>
        <s v="CTN1998680004" u="1"/>
        <s v="CTN3304701001" u="1"/>
        <s v="CTN3308515001" u="1"/>
        <s v="CTN1995946408" u="1"/>
        <s v="CTN2007926004" u="1"/>
        <s v="CTN3208092501" u="1"/>
        <s v="CTN1989592601" u="1"/>
        <s v="CTN3047435201" u="1"/>
        <s v="CTN3305329401" u="1"/>
        <s v="CTN2952977801" u="1"/>
        <s v="CTN1970318303" u="1"/>
        <s v="CTN3304701101" u="1"/>
        <s v="CTN1720542105" u="1"/>
        <s v="CTN1982363204" u="1"/>
        <s v="CTN3014222601" u="1"/>
        <s v="CTN3330281308" u="1"/>
        <s v="CTN1999474119" u="1"/>
        <s v="CTN1989592701" u="1"/>
        <s v="CTN3105339501" u="1"/>
        <s v="CTN3305077301" u="1"/>
        <s v="CTN1708689201" u="1"/>
        <s v="CTN1714099002" u="1"/>
        <s v="CTN1977913505" u="1"/>
        <s v="CTN1987675301" u="1"/>
        <s v="CTN1989592801" u="1"/>
        <s v="CTN3101711401" u="1"/>
        <s v="CTN5669261713" u="1"/>
        <s v="CTN1968513905" u="1"/>
        <s v="CTN1702071202" u="1"/>
        <s v="CTN2011771801" u="1"/>
        <s v="CTN3059303001" u="1"/>
        <s v="CTN2946500301" u="1"/>
        <s v="CTN1713532920" u="1"/>
        <s v="CTN1989635403" u="1"/>
        <s v="CTN3208092901" u="1"/>
        <s v="CTN1979601408" u="1"/>
        <s v="CTN3005623501" u="1"/>
        <s v="CTN5883124001" u="1"/>
        <s v="TRS3222370601" u="1"/>
        <s v="CTN1999689311" u="1"/>
        <s v="CTN1719820307" u="1"/>
        <s v="CTN3005623601" u="1"/>
        <s v="CTN1723874701" u="1"/>
        <s v="CTN3229509101" u="1"/>
        <s v="CTN3229892401" u="1"/>
        <s v="CTN3219109601" u="1"/>
        <s v="CTN1713108001" u="1"/>
        <s v="CTN2006265002" u="1"/>
        <s v="CTN1987412101" u="1"/>
        <s v="CTN3229360501" u="1"/>
        <s v="CTN1981816720" u="1"/>
        <s v="CTN2002285301" u="1"/>
        <s v="CTN1694903715" u="1"/>
        <s v="CTN1987924302" u="1"/>
        <s v="CTN3297751406" u="1"/>
        <s v="CTN1987412115" u="1"/>
        <s v="CTN2009517302" u="1"/>
        <s v="CTN1709406202" u="1"/>
        <s v="CTN3081264701" u="1"/>
        <s v="CTN1663077406" u="1"/>
        <s v="CTN1987944401" u="1"/>
        <s v="CTN6057466901" u="1"/>
        <s v="CTN1687096305" u="1"/>
        <s v="CTN3110996203" u="1"/>
        <s v="CTN2015070601" u="1"/>
        <s v="CTN3508084201" u="1"/>
        <s v="CTN3105439001" u="1"/>
        <s v="CTN3223526001" u="1"/>
        <s v="CTN5679266901" u="1"/>
        <s v="CTN1718485506" u="1"/>
        <s v="CTN3320531701" u="1"/>
        <s v="CTN1969759701" u="1"/>
        <s v="CTN1984380304" u="1"/>
        <s v="CTN1694768504" u="1"/>
        <s v="CTN1686082601" u="1"/>
        <s v="CTN3071479901" u="1"/>
        <s v="CTN3105439201" u="1"/>
        <s v="CTN5705057001" u="1"/>
        <s v="CTN1686677102" u="1"/>
        <s v="CTN2015070901" u="1"/>
        <s v="CTN2008079802" u="1"/>
        <s v="CTN3082095301" u="1"/>
        <s v="CTN3069703801" u="1"/>
        <s v="CTN1967213811" u="1"/>
        <s v="TRS3036863501" u="1"/>
        <s v="CTN1721768402" u="1"/>
        <s v="CTN3305615201" u="1"/>
        <s v="TRS5699012601" u="1"/>
        <s v="CTN3083095401" u="1"/>
        <s v="CTN1986921003" u="1"/>
        <s v="CTN2003056204" u="1"/>
        <s v="CTN3111055001" u="1"/>
        <s v="CTN1694339203" u="1"/>
        <s v="CTN3308429301" u="1"/>
        <s v="CTN1964444105" u="1"/>
        <s v="CTN3052134901" u="1"/>
        <s v="CTN1984160901" u="1"/>
        <s v="CTN1699159012" u="1"/>
        <s v="CTN3072851801" u="1"/>
        <s v="CTN1968484003" u="1"/>
        <s v="CTN1688165301" u="1"/>
        <s v="CTN1981818003" u="1"/>
        <s v="CTN1983223502" u="1"/>
        <s v="CTN1994709501" u="1"/>
        <s v="CTN3221274501" u="1"/>
        <s v="CTN3106439601" u="1"/>
        <s v="CTN1982423406" u="1"/>
        <s v="CTN3294019601" u="1"/>
        <s v="CTN1997866803" u="1"/>
        <s v="CTN3100373501" u="1"/>
        <s v="CTN1977781404" u="1"/>
        <s v="CTN5683217901" u="1"/>
        <s v="CTN1989223302" u="1"/>
        <s v="CTN2007256108" u="1"/>
        <s v="CTN3522884501" u="1"/>
        <s v="CTN1989901204" u="1"/>
        <s v="CTN3075216501" u="1"/>
        <s v="TRS3039162001" u="1"/>
        <s v="CTN1988509705" u="1"/>
        <s v="CTN1982366013" u="1"/>
        <s v="CTN3100373701" u="1"/>
        <s v="CTN3226274501" u="1"/>
        <s v="CTN1977781418" u="1"/>
        <s v="CTN1721642505" u="1"/>
        <s v="CTN1698994902" u="1"/>
        <s v="CTN1967204603" u="1"/>
        <s v="CTN1694745306" u="1"/>
        <s v="CTN1714960605" u="1"/>
        <s v="CTN3226357001" u="1"/>
        <s v="CTN1688165701" u="1"/>
        <s v="CTN1977902310" u="1"/>
        <s v="CTN3077402401" u="1"/>
        <s v="CTN1989243601" u="1"/>
        <s v="CTN3324800701" u="1"/>
        <s v="CTN3048366001" u="1"/>
        <s v="CTN3073047101" u="1"/>
        <s v="CTN2003036905" u="1"/>
        <s v="CTN1974830401" u="1"/>
        <s v="CTN3425982701" u="1"/>
        <s v="CTN1983512301" u="1"/>
        <s v="CTN1697116001" u="1"/>
        <s v="CTN1964962901" u="1"/>
        <s v="AFCTN3210356001" u="1"/>
        <s v="CTN1970289301" u="1"/>
        <s v="CTN2995989101" u="1"/>
        <s v="CTN3294036201" u="1"/>
        <s v="CTN1955459901" u="1"/>
        <s v="CTN3127455201" u="1"/>
        <s v="CTN3073047301" u="1"/>
        <s v="CTN1698991303" u="1"/>
        <s v="TRS3026377501" u="1"/>
        <s v="CTN1974386606" u="1"/>
        <s v="CTN1988512201" u="1"/>
        <s v="CTN1981818803" u="1"/>
        <s v="CTN3126987401" u="1"/>
        <s v="CTN5766669601" u="1"/>
        <s v="CTN1998677704" u="1"/>
        <s v="CTN1988512301" u="1"/>
        <s v="CTN2760337101" u="1"/>
        <s v="CTN3300632501" u="1"/>
        <s v="CTN3354043901" u="1"/>
        <s v="CTN1697116301" u="1"/>
        <s v="CTN1952908306" u="1"/>
        <s v="CTN1967241202" u="1"/>
        <s v="TRS3026377701" u="1"/>
        <s v="CTN2008754905" u="1"/>
        <s v="CTN3151070101" u="1"/>
        <s v="CTN1968513401" u="1"/>
        <s v="CTN3139772601" u="1"/>
        <s v="CTN3229543301" u="1"/>
        <s v="CTN1697116401" u="1"/>
        <s v="CTN1977186902" u="1"/>
        <s v="CTN1967192905" u="1"/>
        <s v="TRS3026377801" u="1"/>
        <s v="CTN2988243501" u="1"/>
        <s v="CTN1987689001" u="1"/>
        <s v="CTN1715823902" u="1"/>
        <s v="CTN1715843901" u="1"/>
        <s v="CTN3139772701" u="1"/>
        <s v="CTN1697116501" u="1"/>
        <s v="CTN1995946404" u="1"/>
        <s v="CTN3301709206" u="1"/>
        <s v="CTN3114072201" u="1"/>
        <s v="CTN3139772801" u="1"/>
        <s v="CTN1699396301" u="1"/>
        <s v="CTN3127455701" u="1"/>
        <s v="CTN1697116601" u="1"/>
        <s v="CTN1720542101" u="1"/>
        <s v="CTN1981855302" u="1"/>
        <s v="CTN2000382002" u="1"/>
        <s v="CTN1999474115" u="1"/>
        <s v="CTN1986689301" u="1"/>
        <s v="CTN1996874109" u="1"/>
        <s v="CTN3294568901" u="1"/>
        <s v="CTN1984577008" u="1"/>
        <s v="CTN3154499001" u="1"/>
        <s v="TRS3096242701" u="1"/>
        <s v="TRS2946272001" u="1"/>
        <s v="CTN3308380401" u="1"/>
        <s v="CTN3229357901" u="1"/>
        <s v="CTN1983137502" u="1"/>
        <s v="CTN3073064001" u="1"/>
        <s v="CTN1692439303" u="1"/>
        <s v="TRS3096242801" u="1"/>
        <s v="CTN1694336804" u="1"/>
        <s v="CTN1968513901" u="1"/>
        <s v="CTN1978289701" u="1"/>
        <s v="TRS2946272101" u="1"/>
        <s v="CTN1999474129" u="1"/>
        <s v="CTN1695479201" u="1"/>
        <s v="CTN1969773702" u="1"/>
        <s v="CTN3407534901" u="1"/>
        <s v="CTN3229188201" u="1"/>
        <s v="CTN3321276501" u="1"/>
        <s v="CTN5682783401" u="1"/>
        <s v="TRS3096242901" u="1"/>
        <s v="CTN1694336904" u="1"/>
        <s v="CTN3088195301" u="1"/>
        <s v="CTN1706039109" u="1"/>
        <s v="CTN1692439317" u="1"/>
        <s v="CTN1686703501" u="1"/>
        <s v="CTN1690187403" u="1"/>
        <s v="CTN1963959001" u="1"/>
        <s v="CTN1719820303" u="1"/>
        <s v="CTN3300995601" u="1"/>
        <s v="CTN1998674605" u="1"/>
        <s v="TRS3564460501" u="1"/>
        <s v="CTN1689963302" u="1"/>
        <s v="CTN3229560101" u="1"/>
        <s v="CTN1987291105" u="1"/>
        <s v="TRS3564460601" u="1"/>
        <s v="CTN3508267501" u="1"/>
        <s v="CTN1977778204" u="1"/>
        <s v="CTN1977910002" u="1"/>
        <s v="TRS3041393901" u="1"/>
        <s v="CTN1715820703" u="1"/>
        <s v="CTN1961750504" u="1"/>
        <s v="CTN3068820501" u="1"/>
        <s v="TRS3219951002" u="1"/>
        <s v="CTN1987317707" u="1"/>
        <s v="CTN2007906901" u="1"/>
        <s v="CTN6057852301" u="1"/>
        <s v="CTN1694903711" u="1"/>
        <s v="CTN2008737101" u="1"/>
        <s v="CTN3090501901" u="1"/>
        <s v="CTN1960169406" u="1"/>
        <s v="CTN3297751402" u="1"/>
        <s v="CTN1719860801" u="1"/>
        <s v="CTN1987412111" u="1"/>
        <s v="CTN1999691005" u="1"/>
        <s v="CTN3229374701" u="1"/>
        <s v="CTN1687096201" u="1"/>
        <s v="CTN3150954101" u="1"/>
        <s v="CTN2012782502" u="1"/>
        <s v="CTN1977778604" u="1"/>
        <s v="CTN1995923506" u="1"/>
        <s v="CTN1687096301" u="1"/>
        <s v="CTN2003362903" u="1"/>
        <s v="TRS3100752501" u="1"/>
        <s v="CTN3068820901" u="1"/>
        <s v="CTN1702763904" u="1"/>
        <s v="CTN2014419301" u="1"/>
        <s v="CTN1974109401" u="1"/>
        <s v="CTN3083902601" u="1"/>
        <s v="CTN3297751416" u="1"/>
        <s v="CTN1713671502" u="1"/>
        <s v="CTN3058783601" u="1"/>
        <s v="CTN1974109501" u="1"/>
        <s v="CTN1984374305" u="1"/>
        <s v="CTN3083996701" u="1"/>
        <s v="CTN1983560205" u="1"/>
        <s v="CTN3229560801" u="1"/>
        <s v="AFCTN3208349401" u="1"/>
        <s v="CTN1709099906" u="1"/>
        <s v="CTN1968853203" u="1"/>
        <s v="TRS3142395001" u="1"/>
        <s v="CTN2005030807" u="1"/>
        <s v="CTN1989646404" u="1"/>
        <s v="CTN1973109701" u="1"/>
        <s v="CTN1987320303" u="1"/>
        <s v="CTN3107490101" u="1"/>
        <s v="CTN3317331701" u="1"/>
        <s v="TRS3142395101" u="1"/>
        <s v="CTN1990388701" u="1"/>
        <s v="CTN3004468801" u="1"/>
        <s v="TRS3104303001" u="1"/>
        <s v="CTN1987918803" u="1"/>
        <s v="CTN3083902901" u="1"/>
        <s v="CTN1989406702" u="1"/>
        <s v="CTN3151422501" u="1"/>
        <s v="CTN1983134803" u="1"/>
        <s v="TRS3142395201" u="1"/>
        <s v="TRS3104303101" u="1"/>
        <s v="TRS3327824001" u="1"/>
        <s v="CTN2007923601" u="1"/>
        <s v="CTN5767237901" u="1"/>
        <s v="CTN1963238302" u="1"/>
        <s v="CTN1984606906" u="1"/>
        <s v="TRS3104303201" u="1"/>
        <s v="CTN1964444101" u="1"/>
        <s v="CTN2008079812" u="1"/>
        <s v="TRS3327824101" u="1"/>
        <s v="CTN3426195701" u="1"/>
        <s v="CTN1709983907" u="1"/>
        <s v="TRS5789263001" u="1"/>
        <s v="CTN1967189805" u="1"/>
      </sharedItems>
    </cacheField>
    <cacheField name="Ship To" numFmtId="0">
      <sharedItems containsBlank="1"/>
    </cacheField>
    <cacheField name="Customer Name" numFmtId="0">
      <sharedItems containsBlank="1"/>
    </cacheField>
    <cacheField name="Ship Method" numFmtId="0">
      <sharedItems containsBlank="1"/>
    </cacheField>
    <cacheField name="FOB Condition" numFmtId="0">
      <sharedItems containsBlank="1"/>
    </cacheField>
    <cacheField name="Original Part No." numFmtId="0">
      <sharedItems containsNonDate="0" containsString="0" containsBlank="1"/>
    </cacheField>
    <cacheField name="Item" numFmtId="0">
      <sharedItems containsBlank="1"/>
    </cacheField>
    <cacheField name="Item Desc" numFmtId="0">
      <sharedItems containsBlank="1"/>
    </cacheField>
    <cacheField name="Model" numFmtId="0">
      <sharedItems containsBlank="1"/>
    </cacheField>
    <cacheField name="Product" numFmtId="0">
      <sharedItems containsBlank="1"/>
    </cacheField>
    <cacheField name="Order No" numFmtId="0">
      <sharedItems containsString="0" containsBlank="1" containsNumber="1" containsInteger="1" minValue="700576839" maxValue="700576839"/>
    </cacheField>
    <cacheField name="Line No" numFmtId="0">
      <sharedItems containsString="0" containsBlank="1" containsNumber="1" minValue="1.1000000000000001" maxValue="1.1000000000000001"/>
    </cacheField>
    <cacheField name="Customer ref" numFmtId="0">
      <sharedItems containsString="0" containsBlank="1" containsNumber="1" containsInteger="1" minValue="40855" maxValue="40855"/>
    </cacheField>
    <cacheField name="Quantity" numFmtId="0">
      <sharedItems containsString="0" containsBlank="1" containsNumber="1" containsInteger="1" minValue="2" maxValue="2"/>
    </cacheField>
    <cacheField name="U-Price" numFmtId="0">
      <sharedItems containsString="0" containsBlank="1" containsNumber="1" minValue="20.71" maxValue="20.71"/>
    </cacheField>
    <cacheField name="Amount" numFmtId="0">
      <sharedItems containsString="0" containsBlank="1" containsNumber="1" minValue="41.42" maxValue="41.42"/>
    </cacheField>
    <cacheField name="HS Code" numFmtId="0">
      <sharedItems containsString="0" containsBlank="1" containsNumber="1" containsInteger="1" minValue="84189990" maxValue="84189990"/>
    </cacheField>
    <cacheField name="Origi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2">
  <r>
    <s v="CTN6053813001"/>
    <s v="DZ000629"/>
    <s v="LG Electronics Algerie SARL"/>
    <s v="AIR"/>
    <s v="CPT"/>
    <m/>
    <s v="AEB75484909"/>
    <s v="Grille Assembly,Fan"/>
    <s v="GC-B22FTLFL.APZPEAS"/>
    <s v="RF"/>
    <n v="700576839"/>
    <n v="1.1000000000000001"/>
    <n v="40855"/>
    <n v="2"/>
    <n v="20.71"/>
    <n v="41.42"/>
    <x v="0"/>
    <x v="0"/>
    <x v="0"/>
    <n v="2.29"/>
    <n v="2.320000000000257"/>
  </r>
  <r>
    <s v="CTN6053813001"/>
    <s v="DZ000629"/>
    <s v="LG Electronics Algerie SARL"/>
    <s v="AIR"/>
    <s v="CPT"/>
    <m/>
    <s v="MCK69193941"/>
    <s v="Cover,Hinge"/>
    <s v="GC-J267SLSS.APZPEAL"/>
    <s v="RF"/>
    <n v="700577714"/>
    <n v="8.1"/>
    <n v="40915"/>
    <n v="1"/>
    <n v="6.01"/>
    <n v="6.01"/>
    <x v="0"/>
    <x v="0"/>
    <x v="0"/>
    <n v="1.1499999999999999"/>
    <n v="1.1499999999999999"/>
  </r>
  <r>
    <s v="CTN6053813001"/>
    <s v="DZ000629"/>
    <s v="LG Electronics Algerie SARL"/>
    <s v="AIR"/>
    <s v="CPT"/>
    <s v="EBR87100817"/>
    <s v="EBR44612824"/>
    <s v="PCB Assembly,Main"/>
    <s v="T1388NEHV2.DBMPMEA"/>
    <s v="WM"/>
    <n v="700579281"/>
    <n v="13.1"/>
    <n v="41124"/>
    <n v="1"/>
    <n v="45.86"/>
    <n v="45.86"/>
    <x v="1"/>
    <x v="0"/>
    <x v="1"/>
    <n v="1.1499999999999999"/>
    <n v="1.1499999999999999"/>
  </r>
  <r>
    <s v="CTN6053813001"/>
    <s v="DZ000629"/>
    <s v="LG Electronics Algerie SARL"/>
    <s v="AIR"/>
    <s v="CPT"/>
    <m/>
    <s v="EAD65945928"/>
    <s v="Harness,Multi"/>
    <s v="V2-B128DX3E.ABLQSBT"/>
    <s v="WM"/>
    <n v="700576407"/>
    <n v="1.2"/>
    <n v="40790"/>
    <n v="1"/>
    <n v="25.4"/>
    <n v="25.4"/>
    <x v="1"/>
    <x v="0"/>
    <x v="1"/>
    <n v="1.1499999999999999"/>
    <n v="1.1499999999999999"/>
  </r>
  <r>
    <s v="CTN6053813001"/>
    <s v="DZ000629"/>
    <s v="LG Electronics Algerie SARL"/>
    <s v="AIR"/>
    <s v="CPT"/>
    <m/>
    <s v="ADL73901321"/>
    <s v="Evaporator Assembly"/>
    <s v="SXB535NS.ANSPDEL"/>
    <s v="RF"/>
    <n v="700576425"/>
    <n v="2.1"/>
    <n v="40808"/>
    <n v="1"/>
    <n v="30.59"/>
    <n v="30.59"/>
    <x v="0"/>
    <x v="0"/>
    <x v="0"/>
    <n v="1.1499999999999999"/>
    <n v="1.1499999999999999"/>
  </r>
  <r>
    <s v="CTN6053813001"/>
    <s v="DZ000629"/>
    <s v="LG Electronics Algerie SARL"/>
    <s v="AIR"/>
    <s v="CPT"/>
    <m/>
    <s v="ACQ88048103"/>
    <s v="Cover Assembly,Front"/>
    <s v="XD74P.APZPDEL"/>
    <s v="WM"/>
    <n v="700577720"/>
    <n v="2.1"/>
    <n v="40921"/>
    <n v="2"/>
    <n v="16.78"/>
    <n v="33.56"/>
    <x v="1"/>
    <x v="0"/>
    <x v="1"/>
    <n v="2.29"/>
    <n v="2.29"/>
  </r>
  <r>
    <s v="CTN6053813001"/>
    <s v="DZ000629"/>
    <s v="LG Electronics Algerie SARL"/>
    <s v="AIR"/>
    <s v="CPT"/>
    <s v="ADL74681001"/>
    <s v="ADL74681003"/>
    <s v="Evaporator Assembly"/>
    <s v="GN-B402SLCB.APZRALY"/>
    <s v="RF"/>
    <n v="700579291"/>
    <n v="6.1"/>
    <n v="41134"/>
    <n v="1"/>
    <n v="31.29"/>
    <n v="31.29"/>
    <x v="0"/>
    <x v="0"/>
    <x v="0"/>
    <n v="1.1499999999999999"/>
    <n v="1.1499999999999999"/>
  </r>
  <r>
    <s v="CTN6053813001"/>
    <s v="DZ000629"/>
    <s v="LG Electronics Algerie SARL"/>
    <s v="AIR"/>
    <s v="CPT"/>
    <m/>
    <s v="EAY65170412"/>
    <s v="Power Supply Assembly"/>
    <s v="OLED65E9PTA.AAU"/>
    <s v="TV"/>
    <n v="700580210"/>
    <n v="1.1000000000000001"/>
    <n v="41213"/>
    <n v="1"/>
    <n v="51.66"/>
    <n v="51.66"/>
    <x v="2"/>
    <x v="0"/>
    <x v="2"/>
    <n v="1.1499999999999999"/>
    <n v="1.1499999999999999"/>
  </r>
  <r>
    <s v="CTN6053813001"/>
    <s v="DZ000629"/>
    <s v="LG Electronics Algerie SARL"/>
    <s v="AIR"/>
    <s v="CPT"/>
    <m/>
    <s v="AGL30037553"/>
    <s v="Panel Assembly,Control"/>
    <s v="DFB425FP.APZQEAS"/>
    <s v="WM"/>
    <n v="700580130"/>
    <n v="1.1000000000000001"/>
    <n v="41212"/>
    <n v="2"/>
    <n v="35.49"/>
    <n v="70.98"/>
    <x v="1"/>
    <x v="0"/>
    <x v="1"/>
    <n v="2.29"/>
    <n v="2.29"/>
  </r>
  <r>
    <s v="CTN6053813001"/>
    <s v="DZ000629"/>
    <s v="LG Electronics Algerie SARL"/>
    <s v="AIR"/>
    <s v="CPT"/>
    <m/>
    <s v="MCK69193941"/>
    <s v="Cover,Hinge"/>
    <s v="GC-J267SLSS.APZPEAL"/>
    <s v="RF"/>
    <n v="700579275"/>
    <n v="10.1"/>
    <n v="41118"/>
    <n v="1"/>
    <n v="6.01"/>
    <n v="6.01"/>
    <x v="0"/>
    <x v="0"/>
    <x v="0"/>
    <n v="1.1499999999999999"/>
    <n v="1.1499999999999999"/>
  </r>
  <r>
    <s v="CTN6053813001"/>
    <s v="DZ000629"/>
    <s v="LG Electronics Algerie SARL"/>
    <s v="AIR"/>
    <s v="CPT"/>
    <m/>
    <s v="ADD74056940"/>
    <s v="Door Foam Assembly,Freezer"/>
    <s v="GC-B559PLCZ.APZPLTK"/>
    <s v="RF"/>
    <n v="700580128"/>
    <n v="1.1000000000000001"/>
    <n v="41211"/>
    <n v="1"/>
    <n v="45.12"/>
    <n v="45.12"/>
    <x v="0"/>
    <x v="0"/>
    <x v="0"/>
    <n v="1.1499999999999999"/>
    <n v="1.1499999999999999"/>
  </r>
  <r>
    <s v="CTN6053813001"/>
    <s v="DZ000629"/>
    <s v="LG Electronics Algerie SARL"/>
    <s v="AIR"/>
    <s v="CPT"/>
    <m/>
    <s v="AGL30116074"/>
    <s v="Panel Assembly,Control"/>
    <s v="F4V9BCP2EE.ABLQAAS"/>
    <s v="WM"/>
    <n v="700577960"/>
    <n v="5.2"/>
    <n v="40971"/>
    <n v="3"/>
    <n v="23.61"/>
    <n v="70.83"/>
    <x v="1"/>
    <x v="0"/>
    <x v="1"/>
    <n v="3.44"/>
    <n v="3.44"/>
  </r>
  <r>
    <s v="CTN6053813001"/>
    <s v="DZ000629"/>
    <s v="LG Electronics Algerie SARL"/>
    <s v="AIR"/>
    <s v="CPT"/>
    <m/>
    <s v="EBR33119122"/>
    <s v="PCB Assembly,Display(Onboarding)"/>
    <s v="F4V7RYW2PE.APTQEAS"/>
    <s v="WM"/>
    <n v="700577520"/>
    <n v="2.1"/>
    <n v="40890"/>
    <n v="1"/>
    <n v="27.63"/>
    <n v="27.63"/>
    <x v="1"/>
    <x v="0"/>
    <x v="1"/>
    <n v="1.1499999999999999"/>
    <n v="1.1499999999999999"/>
  </r>
  <r>
    <s v="CTN6053813001"/>
    <s v="DZ000629"/>
    <s v="LG Electronics Algerie SARL"/>
    <s v="AIR"/>
    <s v="CPT"/>
    <s v="AGM75469810"/>
    <s v="AGM75469801"/>
    <s v="Dispenser,Parts Assembly,SVC"/>
    <s v="XD74S.AESPDEL"/>
    <s v="WM"/>
    <n v="700579317"/>
    <n v="2.1"/>
    <n v="41144"/>
    <n v="1"/>
    <n v="11.19"/>
    <n v="11.19"/>
    <x v="1"/>
    <x v="0"/>
    <x v="1"/>
    <n v="1.1499999999999999"/>
    <n v="1.1499999999999999"/>
  </r>
  <r>
    <s v="CTN6053813001"/>
    <s v="DZ000629"/>
    <s v="LG Electronics Algerie SARL"/>
    <s v="AIR"/>
    <s v="CPT"/>
    <s v="AGM75469810"/>
    <s v="AGM75469801"/>
    <s v="Dispenser,Parts Assembly,SVC"/>
    <s v="XD74S.AESPDEL"/>
    <s v="WM"/>
    <n v="700579904"/>
    <n v="7.1"/>
    <n v="41178"/>
    <n v="3"/>
    <n v="11.19"/>
    <n v="33.57"/>
    <x v="1"/>
    <x v="0"/>
    <x v="1"/>
    <n v="3.44"/>
    <n v="3.44"/>
  </r>
  <r>
    <s v="CTN6053813001"/>
    <s v="DZ000629"/>
    <s v="LG Electronics Algerie SARL"/>
    <s v="AIR"/>
    <s v="CPT"/>
    <m/>
    <s v="ACQ89039604"/>
    <s v="Cover Assembly,Tub"/>
    <s v="F4J8FHP2W.ABWPLTK"/>
    <s v="WM"/>
    <n v="700575881"/>
    <n v="2.2000000000000002"/>
    <n v="40739"/>
    <n v="2"/>
    <n v="28.88"/>
    <n v="57.76"/>
    <x v="1"/>
    <x v="0"/>
    <x v="1"/>
    <n v="2.29"/>
    <n v="2.29"/>
  </r>
  <r>
    <s v="CTN6053813001"/>
    <s v="DZ000629"/>
    <s v="LG Electronics Algerie SARL"/>
    <s v="AIR"/>
    <s v="CPT"/>
    <m/>
    <s v="MDS66651629"/>
    <s v="Gasket"/>
    <s v="F4V5RGP2T.ASSPMEA"/>
    <s v="WM"/>
    <n v="700579904"/>
    <n v="2.1"/>
    <n v="41178"/>
    <n v="10"/>
    <n v="12.92"/>
    <n v="129.19999999999999"/>
    <x v="1"/>
    <x v="0"/>
    <x v="1"/>
    <n v="11.47"/>
    <n v="11.47"/>
  </r>
  <r>
    <s v="CTN6055349201"/>
    <s v="DZ000629"/>
    <s v="LG Electronics Algerie SARL"/>
    <s v="AIR"/>
    <s v="CPT"/>
    <m/>
    <s v="EBR73747601"/>
    <s v="Hand Insert PCB Assembly"/>
    <s v="50PA4520.AFT"/>
    <s v="TV"/>
    <n v="700580412"/>
    <n v="1.1000000000000001"/>
    <n v="41224"/>
    <n v="1"/>
    <n v="36.32"/>
    <n v="36.32"/>
    <x v="2"/>
    <x v="0"/>
    <x v="2"/>
    <n v="1.1499999999999999"/>
    <n v="1.1499999999999999"/>
  </r>
  <r>
    <s v="CTN6055349201"/>
    <s v="DZ000629"/>
    <s v="LG Electronics Algerie SARL"/>
    <s v="AIR"/>
    <s v="CPT"/>
    <m/>
    <s v="AEB76295401"/>
    <s v="Grille Assembly,Fan"/>
    <s v="GN-B502PQGB.ADSQMEA"/>
    <s v="RF"/>
    <n v="700579275"/>
    <n v="13.2"/>
    <n v="41118"/>
    <n v="1"/>
    <n v="21.22"/>
    <n v="21.22"/>
    <x v="0"/>
    <x v="0"/>
    <x v="0"/>
    <n v="1.1499999999999999"/>
    <n v="1.1499999999999999"/>
  </r>
  <r>
    <s v="CTN6055475701"/>
    <s v="DZ000629"/>
    <s v="LG Electronics Algerie SARL"/>
    <s v="AIR"/>
    <s v="CPT"/>
    <s v="EAJ65906310"/>
    <s v="EAJ65906399"/>
    <s v="OLED Module Assembly"/>
    <s v="OLED55CS4VA.AFU"/>
    <s v="TV"/>
    <n v="700577518"/>
    <n v="12.1"/>
    <n v="40888"/>
    <n v="2"/>
    <n v="329.98"/>
    <n v="659.96"/>
    <x v="2"/>
    <x v="0"/>
    <x v="2"/>
    <n v="2.29"/>
    <n v="2.29"/>
  </r>
  <r>
    <s v="CTN6057466901"/>
    <s v="DZ000629"/>
    <s v="LG Electronics Algerie SARL"/>
    <s v="AIR"/>
    <s v="CPT"/>
    <s v="EAD64947362"/>
    <s v="EAD65945928"/>
    <s v="Harness,Multi"/>
    <s v="V2-B128DX3E.ABLQSBT"/>
    <s v="WM"/>
    <n v="700580420"/>
    <n v="15.1"/>
    <n v="41230"/>
    <n v="1"/>
    <n v="25.74"/>
    <n v="25.74"/>
    <x v="1"/>
    <x v="0"/>
    <x v="1"/>
    <n v="1.1499999999999999"/>
    <n v="1.1499999999999999"/>
  </r>
  <r>
    <s v="CTN6057466901"/>
    <s v="DZ000629"/>
    <s v="LG Electronics Algerie SARL"/>
    <s v="AIR"/>
    <s v="CPT"/>
    <m/>
    <s v="ADQ73693903"/>
    <s v="Filter Assembly,Water"/>
    <s v="SXB55SS.ANSPDE1"/>
    <s v="RF"/>
    <n v="700580423"/>
    <n v="3.1"/>
    <n v="41233"/>
    <n v="2"/>
    <n v="8.07"/>
    <n v="16.14"/>
    <x v="0"/>
    <x v="0"/>
    <x v="0"/>
    <n v="2.29"/>
    <n v="2.29"/>
  </r>
  <r>
    <s v="CTN6057466901"/>
    <s v="DZ000629"/>
    <s v="LG Electronics Algerie SARL"/>
    <s v="AIR"/>
    <s v="CPT"/>
    <m/>
    <s v="MJS63771903"/>
    <s v="Tray,Glass"/>
    <s v="MS2535GIS.BWHQEAS"/>
    <s v="CA"/>
    <n v="700580423"/>
    <n v="26.1"/>
    <n v="41233"/>
    <n v="2"/>
    <n v="3.38"/>
    <n v="6.76"/>
    <x v="3"/>
    <x v="0"/>
    <x v="3"/>
    <n v="2.29"/>
    <n v="2.29"/>
  </r>
  <r>
    <s v="CTN6057466901"/>
    <s v="DZ000629"/>
    <s v="LG Electronics Algerie SARL"/>
    <s v="AIR"/>
    <s v="CPT"/>
    <s v="EBR89262704"/>
    <s v="EBR89262705"/>
    <s v="PCB Assembly,Fan"/>
    <s v="ARUN120LTH5.EWGBIBR"/>
    <s v="AC"/>
    <n v="700580423"/>
    <n v="36.1"/>
    <n v="41233"/>
    <n v="1"/>
    <n v="44.19"/>
    <n v="44.19"/>
    <x v="4"/>
    <x v="0"/>
    <x v="4"/>
    <n v="1.1499999999999999"/>
    <n v="1.1499999999999999"/>
  </r>
  <r>
    <s v="CTN6057466901"/>
    <s v="DZ000629"/>
    <s v="LG Electronics Algerie SARL"/>
    <s v="AIR"/>
    <s v="CPT"/>
    <m/>
    <s v="AEH33405605"/>
    <s v="Hinge Assembly,Upper"/>
    <s v="GR-M6780DID.APZQAGE"/>
    <s v="RF"/>
    <n v="700580422"/>
    <n v="2.1"/>
    <n v="41232"/>
    <n v="1"/>
    <n v="10.64"/>
    <n v="10.64"/>
    <x v="0"/>
    <x v="0"/>
    <x v="0"/>
    <n v="1.1499999999999999"/>
    <n v="1.1499999999999999"/>
  </r>
  <r>
    <s v="CTN6057466901"/>
    <s v="DZ000629"/>
    <s v="LG Electronics Algerie SARL"/>
    <s v="AIR"/>
    <s v="CPT"/>
    <m/>
    <s v="EBU66306591"/>
    <s v="Mainboard,BPR Total Assembly,SVC"/>
    <s v="55NANO856PA.AEU"/>
    <s v="TV"/>
    <n v="700580423"/>
    <n v="1.1000000000000001"/>
    <n v="41233"/>
    <n v="1"/>
    <n v="61.54"/>
    <n v="61.54"/>
    <x v="2"/>
    <x v="0"/>
    <x v="2"/>
    <n v="1.1499999999999999"/>
    <n v="1.1499999999999999"/>
  </r>
  <r>
    <s v="CTN6057466901"/>
    <s v="DZ000629"/>
    <s v="LG Electronics Algerie SARL"/>
    <s v="AIR"/>
    <s v="CPT"/>
    <m/>
    <s v="ADQ74693702"/>
    <s v="Filter Assembly,Mesh"/>
    <s v="DBC425TS.AASPMEA"/>
    <s v="WM"/>
    <n v="700580423"/>
    <n v="2.1"/>
    <n v="41233"/>
    <n v="2"/>
    <n v="2.87"/>
    <n v="5.74"/>
    <x v="1"/>
    <x v="0"/>
    <x v="1"/>
    <n v="2.29"/>
    <n v="2.29"/>
  </r>
  <r>
    <s v="CTN6057466901"/>
    <s v="DZ000629"/>
    <s v="LG Electronics Algerie SARL"/>
    <s v="AIR"/>
    <s v="CPT"/>
    <m/>
    <s v="AGB74152502"/>
    <s v="Nozzle Assembly"/>
    <s v="DBC425TS.AASPMEA"/>
    <s v="WM"/>
    <n v="700580423"/>
    <n v="11.1"/>
    <n v="41233"/>
    <n v="1"/>
    <n v="4.08"/>
    <n v="4.08"/>
    <x v="1"/>
    <x v="0"/>
    <x v="1"/>
    <n v="1.1499999999999999"/>
    <n v="1.1499999999999999"/>
  </r>
  <r>
    <s v="CTN6057466901"/>
    <s v="DZ000629"/>
    <s v="LG Electronics Algerie SARL"/>
    <s v="AIR"/>
    <s v="CPT"/>
    <m/>
    <s v="AEZ75473507"/>
    <s v="Knob Assembly"/>
    <s v="F4R5TYG0W.ABWPEEC"/>
    <s v="WM"/>
    <n v="700580423"/>
    <n v="7.1"/>
    <n v="41233"/>
    <n v="2"/>
    <n v="2.62"/>
    <n v="5.24"/>
    <x v="1"/>
    <x v="0"/>
    <x v="1"/>
    <n v="2.29"/>
    <n v="2.29"/>
  </r>
  <r>
    <s v="CTN6057466901"/>
    <s v="DZ000629"/>
    <s v="LG Electronics Algerie SARL"/>
    <s v="AIR"/>
    <s v="CPT"/>
    <m/>
    <s v="EAT65166902"/>
    <s v="Time Control"/>
    <s v="70UP8050PVB.AMAG"/>
    <s v="TV"/>
    <n v="700580423"/>
    <n v="9.1"/>
    <n v="41233"/>
    <n v="1"/>
    <n v="11.1"/>
    <n v="11.1"/>
    <x v="2"/>
    <x v="1"/>
    <x v="2"/>
    <n v="1.1499999999999999"/>
    <n v="1.1499999999999999"/>
  </r>
  <r>
    <s v="CTN6057466901"/>
    <s v="DZ000629"/>
    <s v="LG Electronics Algerie SARL"/>
    <s v="AIR"/>
    <s v="CPT"/>
    <s v="EAT65166901"/>
    <s v="EAT65166902"/>
    <s v="Time Control"/>
    <s v="70UP8050PVB.AMAG"/>
    <s v="TV"/>
    <n v="700580423"/>
    <n v="37.1"/>
    <n v="41233"/>
    <n v="3"/>
    <n v="11.08"/>
    <n v="33.24"/>
    <x v="2"/>
    <x v="1"/>
    <x v="2"/>
    <n v="3.44"/>
    <n v="3.44"/>
  </r>
  <r>
    <s v="CTN6057466901"/>
    <s v="DZ000629"/>
    <s v="LG Electronics Algerie SARL"/>
    <s v="AIR"/>
    <s v="CPT"/>
    <m/>
    <s v="EBR34026902"/>
    <s v="PCB Assembly,Filter"/>
    <s v="AUUW55GT6.ATRGIBR"/>
    <s v="AC"/>
    <n v="700580423"/>
    <n v="14.1"/>
    <n v="41233"/>
    <n v="1"/>
    <n v="33.08"/>
    <n v="33.08"/>
    <x v="4"/>
    <x v="0"/>
    <x v="4"/>
    <n v="1.1499999999999999"/>
    <n v="1.1499999999999999"/>
  </r>
  <r>
    <s v="CTN6057466901"/>
    <s v="DZ000629"/>
    <s v="LG Electronics Algerie SARL"/>
    <s v="AIR"/>
    <s v="CPT"/>
    <m/>
    <s v="EBR32965160"/>
    <s v="PCB Assembly,Main"/>
    <s v="GC-X257CSES.ABSREEF"/>
    <s v="RF"/>
    <n v="700580423"/>
    <n v="16.100000000000001"/>
    <n v="41233"/>
    <n v="1"/>
    <n v="42"/>
    <n v="42"/>
    <x v="0"/>
    <x v="0"/>
    <x v="0"/>
    <n v="1.1499999999999999"/>
    <n v="1.1499999999999999"/>
  </r>
  <r>
    <s v="CTN6057466901"/>
    <s v="DZ000629"/>
    <s v="LG Electronics Algerie SARL"/>
    <s v="AIR"/>
    <s v="CPT"/>
    <m/>
    <s v="AGM30045803"/>
    <s v="Lamp,Parts Assembly,SVC"/>
    <s v="WDK2105TPHC.ASSPELF"/>
    <s v="WM"/>
    <n v="700580423"/>
    <n v="18.100000000000001"/>
    <n v="41233"/>
    <n v="2"/>
    <n v="3.93"/>
    <n v="7.86"/>
    <x v="1"/>
    <x v="0"/>
    <x v="1"/>
    <n v="2.29"/>
    <n v="2.29"/>
  </r>
  <r>
    <s v="CTN6057466901"/>
    <s v="DZ000629"/>
    <s v="LG Electronics Algerie SARL"/>
    <s v="AIR"/>
    <s v="CPT"/>
    <m/>
    <s v="6411EL1001K"/>
    <s v="Power Cord Assembly"/>
    <s v="CS4001AR.AKOR"/>
    <s v="WM"/>
    <n v="700580423"/>
    <n v="19.100000000000001"/>
    <n v="41233"/>
    <n v="4"/>
    <n v="9.2899999999999991"/>
    <n v="37.159999999999997"/>
    <x v="1"/>
    <x v="2"/>
    <x v="1"/>
    <n v="4.59"/>
    <n v="4.59"/>
  </r>
  <r>
    <s v="CTN6057466901"/>
    <s v="DZ000629"/>
    <s v="LG Electronics Algerie SARL"/>
    <s v="AIR"/>
    <s v="CPT"/>
    <m/>
    <s v="EAY65769224"/>
    <s v="Power Supply Assembly"/>
    <s v="50UN7240PVG.AFPE"/>
    <s v="TV"/>
    <n v="700580423"/>
    <n v="20.100000000000001"/>
    <n v="41233"/>
    <n v="1"/>
    <n v="23.76"/>
    <n v="23.76"/>
    <x v="2"/>
    <x v="0"/>
    <x v="2"/>
    <n v="1.1499999999999999"/>
    <n v="1.1499999999999999"/>
  </r>
  <r>
    <s v="CTN6057466901"/>
    <s v="DZ000629"/>
    <s v="LG Electronics Algerie SARL"/>
    <s v="AIR"/>
    <s v="CPT"/>
    <m/>
    <s v="EAD65893702"/>
    <s v="Cable,FFC"/>
    <s v="43UP7750PVB.AMFG"/>
    <s v="TV"/>
    <n v="700580423"/>
    <n v="23.1"/>
    <n v="41233"/>
    <n v="2"/>
    <n v="2.4300000000000002"/>
    <n v="4.8600000000000003"/>
    <x v="2"/>
    <x v="0"/>
    <x v="2"/>
    <n v="2.29"/>
    <n v="2.29"/>
  </r>
  <r>
    <s v="CTN6057466901"/>
    <s v="DZ000629"/>
    <s v="LG Electronics Algerie SARL"/>
    <s v="AIR"/>
    <s v="CPT"/>
    <m/>
    <s v="AHT75335002"/>
    <s v="Shelf Assembly,Refrigerator"/>
    <s v="GR-X267CQES.AMCQMEA"/>
    <s v="RF"/>
    <n v="700580423"/>
    <n v="24.1"/>
    <n v="41233"/>
    <n v="2"/>
    <n v="4.3899999999999997"/>
    <n v="8.7799999999999994"/>
    <x v="0"/>
    <x v="0"/>
    <x v="0"/>
    <n v="2.29"/>
    <n v="2.29"/>
  </r>
  <r>
    <s v="CTN6057466901"/>
    <s v="DZ000629"/>
    <s v="LG Electronics Algerie SARL"/>
    <s v="AIR"/>
    <s v="CPT"/>
    <m/>
    <s v="EBT66980520"/>
    <s v="Chassis Assembly"/>
    <s v="50UQ80006LD.AMRG"/>
    <s v="TV"/>
    <n v="700580423"/>
    <n v="30.1"/>
    <n v="41233"/>
    <n v="2"/>
    <n v="63.05"/>
    <n v="126.1"/>
    <x v="2"/>
    <x v="0"/>
    <x v="2"/>
    <n v="2.29"/>
    <n v="2.29"/>
  </r>
  <r>
    <s v="CTN6057466901"/>
    <s v="DZ000629"/>
    <s v="LG Electronics Algerie SARL"/>
    <s v="AIR"/>
    <s v="CPT"/>
    <m/>
    <s v="ADW73389901"/>
    <s v="Funnel Assembly"/>
    <s v="SXB53W.ASWPDEL"/>
    <s v="RF"/>
    <n v="700580424"/>
    <n v="3.1"/>
    <n v="41234"/>
    <n v="2"/>
    <n v="9.52"/>
    <n v="19.04"/>
    <x v="0"/>
    <x v="0"/>
    <x v="0"/>
    <n v="2.29"/>
    <n v="2.29"/>
  </r>
  <r>
    <s v="CTN6057466901"/>
    <s v="DZ000629"/>
    <s v="LG Electronics Algerie SARL"/>
    <s v="AIR"/>
    <s v="CPT"/>
    <m/>
    <s v="EBR83263205"/>
    <s v="PCB Assembly,Display"/>
    <s v="T1369NEFT.ABWPEEC"/>
    <s v="WM"/>
    <n v="700580424"/>
    <n v="5.0999999999999996"/>
    <n v="41234"/>
    <n v="1"/>
    <n v="31.21"/>
    <n v="31.21"/>
    <x v="1"/>
    <x v="0"/>
    <x v="1"/>
    <n v="1.1499999999999999"/>
    <n v="1.1499999999999999"/>
  </r>
  <r>
    <s v="CTN6057466901"/>
    <s v="DZ000629"/>
    <s v="LG Electronics Algerie SARL"/>
    <s v="AIR"/>
    <s v="CPT"/>
    <m/>
    <s v="5221EN2001K"/>
    <s v="Valve Assembly,Inlet"/>
    <s v="T1369NEFT.ABWPEEC"/>
    <s v="WM"/>
    <n v="700580424"/>
    <n v="8.1"/>
    <n v="41234"/>
    <n v="3"/>
    <n v="7.87"/>
    <n v="23.61"/>
    <x v="1"/>
    <x v="0"/>
    <x v="1"/>
    <n v="3.44"/>
    <n v="3.44"/>
  </r>
  <r>
    <s v="CTN6057466901"/>
    <s v="DZ000629"/>
    <s v="LG Electronics Algerie SARL"/>
    <s v="AIR"/>
    <s v="CPT"/>
    <m/>
    <s v="EBJ62950301"/>
    <s v="Transformer,power"/>
    <s v="LF761S.FSTUEAS"/>
    <s v="CA"/>
    <n v="700580424"/>
    <n v="7.1"/>
    <n v="41234"/>
    <n v="2"/>
    <n v="10.45"/>
    <n v="20.9"/>
    <x v="3"/>
    <x v="0"/>
    <x v="3"/>
    <n v="2.29"/>
    <n v="2.29"/>
  </r>
  <r>
    <s v="CTN6057466901"/>
    <s v="DZ000629"/>
    <s v="LG Electronics Algerie SARL"/>
    <s v="AIR"/>
    <s v="CPT"/>
    <m/>
    <s v="MAN62329701"/>
    <s v="Basket,Door"/>
    <s v="GR-T290GLX.APVPDLM"/>
    <s v="RF"/>
    <n v="700580425"/>
    <n v="3.1"/>
    <n v="41235"/>
    <n v="2"/>
    <n v="3.45"/>
    <n v="6.9"/>
    <x v="0"/>
    <x v="0"/>
    <x v="0"/>
    <n v="2.29"/>
    <n v="2.29"/>
  </r>
  <r>
    <s v="CTN6057466901"/>
    <s v="DZ000629"/>
    <s v="LG Electronics Algerie SARL"/>
    <s v="AIR"/>
    <s v="CPT"/>
    <m/>
    <s v="MAN62329401"/>
    <s v="Basket,Door"/>
    <s v="GR-T290GLX.APVPDLM"/>
    <s v="RF"/>
    <n v="700580425"/>
    <n v="4.0999999999999996"/>
    <n v="41235"/>
    <n v="2"/>
    <n v="2.4"/>
    <n v="4.8"/>
    <x v="0"/>
    <x v="0"/>
    <x v="0"/>
    <n v="2.29"/>
    <n v="2.29"/>
  </r>
  <r>
    <s v="CTN6057466901"/>
    <s v="DZ000629"/>
    <s v="LG Electronics Algerie SARL"/>
    <s v="AIR"/>
    <s v="CPT"/>
    <m/>
    <s v="MAN62329601"/>
    <s v="Basket,Door"/>
    <s v="GR-T290GLX.APVPDLM"/>
    <s v="RF"/>
    <n v="700580425"/>
    <n v="5.0999999999999996"/>
    <n v="41235"/>
    <n v="3"/>
    <n v="4.32"/>
    <n v="12.96"/>
    <x v="0"/>
    <x v="0"/>
    <x v="0"/>
    <n v="3.44"/>
    <n v="3.44"/>
  </r>
  <r>
    <s v="CTN6057466901"/>
    <s v="DZ000629"/>
    <s v="LG Electronics Algerie SARL"/>
    <s v="AIR"/>
    <s v="CPT"/>
    <m/>
    <s v="EBR62255203"/>
    <s v="PCB Assembly,Display"/>
    <s v="GR-B399BLQK.CPVQESA"/>
    <s v="RF"/>
    <n v="700580425"/>
    <n v="10.1"/>
    <n v="41235"/>
    <n v="1"/>
    <n v="4.43"/>
    <n v="4.43"/>
    <x v="0"/>
    <x v="0"/>
    <x v="0"/>
    <n v="1.1499999999999999"/>
    <n v="1.1499999999999999"/>
  </r>
  <r>
    <s v="CTN6057466901"/>
    <s v="DZ000629"/>
    <s v="LG Electronics Algerie SARL"/>
    <s v="AIR"/>
    <s v="CPT"/>
    <s v="3390W1G004E"/>
    <s v="3390W1A044B"/>
    <s v="Tray,Glass"/>
    <s v="MS2648S.TSLQMEC"/>
    <s v="CA"/>
    <n v="700580417"/>
    <n v="4.0999999999999996"/>
    <n v="41227"/>
    <n v="2"/>
    <n v="3.82"/>
    <n v="7.64"/>
    <x v="3"/>
    <x v="0"/>
    <x v="3"/>
    <n v="2.29"/>
    <n v="2.29"/>
  </r>
  <r>
    <s v="CTN6057466901"/>
    <s v="DZ000629"/>
    <s v="LG Electronics Algerie SARL"/>
    <s v="AIR"/>
    <s v="CPT"/>
    <m/>
    <s v="EBR76570614"/>
    <s v="PCB Assembly,Main"/>
    <s v="USUW186K3W0.ENCBNAS"/>
    <s v="AC"/>
    <n v="700580416"/>
    <n v="2.1"/>
    <n v="41226"/>
    <n v="1"/>
    <n v="46.48"/>
    <n v="46.48"/>
    <x v="4"/>
    <x v="0"/>
    <x v="4"/>
    <n v="1.1499999999999999"/>
    <n v="1.1499999999999999"/>
  </r>
  <r>
    <s v="CTN6057466901"/>
    <s v="DZ000629"/>
    <s v="LG Electronics Algerie SARL"/>
    <s v="AIR"/>
    <s v="CPT"/>
    <m/>
    <s v="EBR79266910"/>
    <s v="PCB Assembly,Sub"/>
    <s v="ARNU18GL2G4.ENCBLEU"/>
    <s v="AC"/>
    <n v="700580416"/>
    <n v="4.0999999999999996"/>
    <n v="41226"/>
    <n v="3"/>
    <n v="1.96"/>
    <n v="5.88"/>
    <x v="4"/>
    <x v="0"/>
    <x v="4"/>
    <n v="3.44"/>
    <n v="3.44"/>
  </r>
  <r>
    <s v="CTN6057466901"/>
    <s v="DZ000629"/>
    <s v="LG Electronics Algerie SARL"/>
    <s v="AIR"/>
    <s v="CPT"/>
    <m/>
    <s v="EBR79266907"/>
    <s v="PCB Assembly,Sub"/>
    <s v="ARNU09GL1G4.ENCBLEU"/>
    <s v="AC"/>
    <n v="700580416"/>
    <n v="5.0999999999999996"/>
    <n v="41226"/>
    <n v="2"/>
    <n v="1.85"/>
    <n v="3.7"/>
    <x v="4"/>
    <x v="0"/>
    <x v="4"/>
    <n v="2.29"/>
    <n v="2.29"/>
  </r>
  <r>
    <s v="CTN6057466901"/>
    <s v="DZ000629"/>
    <s v="LG Electronics Algerie SARL"/>
    <s v="AIR"/>
    <s v="CPT"/>
    <m/>
    <s v="AJR75643201"/>
    <s v="Tube Assembly,Expansion"/>
    <s v="ARNU09GL1G4.ENCBLEU"/>
    <s v="AC"/>
    <n v="700580416"/>
    <n v="8.1"/>
    <n v="41226"/>
    <n v="3"/>
    <n v="38.979999999999997"/>
    <n v="116.94"/>
    <x v="4"/>
    <x v="0"/>
    <x v="4"/>
    <n v="3.44"/>
    <n v="3.44"/>
  </r>
  <r>
    <s v="CTN6057466901"/>
    <s v="DZ000629"/>
    <s v="LG Electronics Algerie SARL"/>
    <s v="AIR"/>
    <s v="CPT"/>
    <m/>
    <s v="EBR61673704"/>
    <s v="PCB Assembly,Main"/>
    <s v="T8517TEFT0.ABWQESA"/>
    <s v="WM"/>
    <n v="700580430"/>
    <n v="10.1"/>
    <n v="41240"/>
    <n v="2"/>
    <n v="37.409999999999997"/>
    <n v="74.819999999999993"/>
    <x v="1"/>
    <x v="0"/>
    <x v="1"/>
    <n v="2.29"/>
    <n v="2.29"/>
  </r>
  <r>
    <s v="CTN6057466901"/>
    <s v="DZ000629"/>
    <s v="LG Electronics Algerie SARL"/>
    <s v="AIR"/>
    <s v="CPT"/>
    <m/>
    <s v="3108ER1001E"/>
    <s v="Casing,Pump"/>
    <s v="WM4070HVA.ASSEEUS"/>
    <s v="WM"/>
    <n v="700580422"/>
    <n v="8.1"/>
    <n v="41232"/>
    <n v="2"/>
    <n v="2.23"/>
    <n v="4.46"/>
    <x v="1"/>
    <x v="0"/>
    <x v="1"/>
    <n v="2.29"/>
    <n v="2.29"/>
  </r>
  <r>
    <s v="CTN6057466901"/>
    <s v="DZ000629"/>
    <s v="LG Electronics Algerie SARL"/>
    <s v="AIR"/>
    <s v="CPT"/>
    <m/>
    <s v="EAD60721411"/>
    <s v="Harness Assembly"/>
    <s v="GC-B559PLCZ.APZPLTK"/>
    <s v="RF"/>
    <n v="700580422"/>
    <n v="12.1"/>
    <n v="41232"/>
    <n v="2"/>
    <n v="1.69"/>
    <n v="3.38"/>
    <x v="0"/>
    <x v="0"/>
    <x v="0"/>
    <n v="2.29"/>
    <n v="2.29"/>
  </r>
  <r>
    <s v="CTN6057466901"/>
    <s v="DZ000629"/>
    <s v="LG Electronics Algerie SARL"/>
    <s v="AIR"/>
    <s v="CPT"/>
    <s v="6601ER1006M"/>
    <s v="6601ER1006F"/>
    <s v="Switch Assembly,Pressure"/>
    <s v="F1443KD.ABWQEAS"/>
    <s v="WM"/>
    <n v="700580432"/>
    <n v="3.1"/>
    <n v="41242"/>
    <n v="4"/>
    <n v="4.58"/>
    <n v="18.32"/>
    <x v="1"/>
    <x v="0"/>
    <x v="1"/>
    <n v="4.59"/>
    <n v="4.59"/>
  </r>
  <r>
    <s v="CTN6057466901"/>
    <s v="DZ000629"/>
    <s v="LG Electronics Algerie SARL"/>
    <s v="AIR"/>
    <s v="CPT"/>
    <m/>
    <s v="EBF61215202"/>
    <s v="Switch Assembly,Locker"/>
    <s v="T4632V0Z.AKOR"/>
    <s v="WM"/>
    <n v="700580433"/>
    <n v="10.1"/>
    <n v="41243"/>
    <n v="4"/>
    <n v="9.01"/>
    <n v="36.04"/>
    <x v="1"/>
    <x v="0"/>
    <x v="1"/>
    <n v="4.59"/>
    <n v="4.59"/>
  </r>
  <r>
    <s v="CTN6057466901"/>
    <s v="DZ000629"/>
    <s v="LG Electronics Algerie SARL"/>
    <s v="AIR"/>
    <s v="CPT"/>
    <m/>
    <s v="AHL72914402"/>
    <s v="Rotor Assembly"/>
    <s v="WM8000HVA.ASSEEUS"/>
    <s v="WM"/>
    <n v="700580434"/>
    <n v="4.0999999999999996"/>
    <n v="41244"/>
    <n v="1"/>
    <n v="23.12"/>
    <n v="23.12"/>
    <x v="1"/>
    <x v="0"/>
    <x v="1"/>
    <n v="1.1499999999999999"/>
    <n v="1.1499999999999999"/>
  </r>
  <r>
    <s v="CTN6057466901"/>
    <s v="DZ000629"/>
    <s v="LG Electronics Algerie SARL"/>
    <s v="AIR"/>
    <s v="CPT"/>
    <m/>
    <s v="EBZ62518641"/>
    <s v="Burner,Outsourcing SVC"/>
    <s v="LF98V05S.ESTZLGF"/>
    <s v="CA"/>
    <n v="700580416"/>
    <n v="11.1"/>
    <n v="41226"/>
    <n v="2"/>
    <n v="23.89"/>
    <n v="47.78"/>
    <x v="3"/>
    <x v="3"/>
    <x v="3"/>
    <n v="2.29"/>
    <n v="2.29"/>
  </r>
  <r>
    <s v="CTN6057466901"/>
    <s v="DZ000629"/>
    <s v="LG Electronics Algerie SARL"/>
    <s v="AIR"/>
    <s v="CPT"/>
    <m/>
    <s v="4681833001Q"/>
    <s v="Motor Assembly,AC"/>
    <s v="VC4220NHTR.BKRQLTK"/>
    <s v="VC"/>
    <n v="700580421"/>
    <n v="6.1"/>
    <n v="41231"/>
    <n v="1"/>
    <n v="18.510000000000002"/>
    <n v="18.510000000000002"/>
    <x v="5"/>
    <x v="2"/>
    <x v="5"/>
    <n v="1.1499999999999999"/>
    <n v="1.1499999999999999"/>
  </r>
  <r>
    <s v="CTN6057466901"/>
    <s v="DZ000629"/>
    <s v="LG Electronics Algerie SARL"/>
    <s v="AIR"/>
    <s v="CPT"/>
    <m/>
    <s v="EBU62307342"/>
    <s v="BPR Total Assembly"/>
    <s v="50PN4500.AFF"/>
    <s v="TV"/>
    <n v="700580424"/>
    <n v="1.1000000000000001"/>
    <n v="41234"/>
    <n v="2"/>
    <n v="51.78"/>
    <n v="103.56"/>
    <x v="2"/>
    <x v="0"/>
    <x v="2"/>
    <n v="2.29"/>
    <n v="2.29"/>
  </r>
  <r>
    <s v="CTN6057466901"/>
    <s v="DZ000629"/>
    <s v="LG Electronics Algerie SARL"/>
    <s v="AIR"/>
    <s v="CPT"/>
    <m/>
    <s v="5300JR1014P"/>
    <s v="Heater,Sheath"/>
    <s v="GC-B207GLQV.APVPEAS"/>
    <s v="RF"/>
    <n v="700580421"/>
    <n v="5.0999999999999996"/>
    <n v="41231"/>
    <n v="1"/>
    <n v="11.5"/>
    <n v="11.5"/>
    <x v="0"/>
    <x v="0"/>
    <x v="0"/>
    <n v="1.1499999999999999"/>
    <n v="1.1499999999999999"/>
  </r>
  <r>
    <s v="CTN6057466901"/>
    <s v="DZ000629"/>
    <s v="LG Electronics Algerie SARL"/>
    <s v="AIR"/>
    <s v="CPT"/>
    <m/>
    <s v="383EER2001G"/>
    <s v="Filter,Parts Assembly,SVC"/>
    <s v="F1022QD.ABWQESM"/>
    <s v="WM"/>
    <n v="700580421"/>
    <n v="7.1"/>
    <n v="41231"/>
    <n v="1"/>
    <n v="2.46"/>
    <n v="2.46"/>
    <x v="1"/>
    <x v="0"/>
    <x v="1"/>
    <n v="1.1499999999999999"/>
    <n v="1.1499999999999999"/>
  </r>
  <r>
    <s v="CTN6057466901"/>
    <s v="DZ000629"/>
    <s v="LG Electronics Algerie SARL"/>
    <s v="AIR"/>
    <s v="CPT"/>
    <m/>
    <s v="ADL31244954"/>
    <s v="Evaporator Assembly"/>
    <s v="GC-B207GLQV.APVPEAS"/>
    <s v="RF"/>
    <n v="700580421"/>
    <n v="3.1"/>
    <n v="41231"/>
    <n v="2"/>
    <n v="25.96"/>
    <n v="51.92"/>
    <x v="0"/>
    <x v="0"/>
    <x v="0"/>
    <n v="2.29"/>
    <n v="2.29"/>
  </r>
  <r>
    <s v="CTN6057466901"/>
    <s v="DZ000629"/>
    <s v="LG Electronics Algerie SARL"/>
    <s v="AIR"/>
    <s v="CPT"/>
    <m/>
    <s v="MKK62342301"/>
    <s v="Bucket,Ice"/>
    <s v="GR-T290GLX.APVPDLM"/>
    <s v="RF"/>
    <n v="700580425"/>
    <n v="6.1"/>
    <n v="41235"/>
    <n v="2"/>
    <n v="2.73"/>
    <n v="5.46"/>
    <x v="0"/>
    <x v="0"/>
    <x v="0"/>
    <n v="2.29"/>
    <n v="2.29"/>
  </r>
  <r>
    <s v="CTN6057466901"/>
    <s v="DZ000629"/>
    <s v="LG Electronics Algerie SARL"/>
    <s v="AIR"/>
    <s v="CPT"/>
    <m/>
    <s v="AJU36719728"/>
    <s v="Valve Assembly"/>
    <s v="ARNH08GK3A2.ENWALEU"/>
    <s v="AC"/>
    <n v="700580416"/>
    <n v="9.1"/>
    <n v="41226"/>
    <n v="3"/>
    <n v="27.73"/>
    <n v="83.19"/>
    <x v="4"/>
    <x v="0"/>
    <x v="4"/>
    <n v="3.44"/>
    <n v="3.44"/>
  </r>
  <r>
    <s v="CTN6057466901"/>
    <s v="DZ000629"/>
    <s v="LG Electronics Algerie SARL"/>
    <s v="AIR"/>
    <s v="CPT"/>
    <m/>
    <s v="AEH74156802"/>
    <s v="Hinge Assembly,Upper"/>
    <s v="GR-B471BF.APZQAGE"/>
    <s v="RF"/>
    <n v="700580440"/>
    <n v="22.1"/>
    <n v="41250"/>
    <n v="1"/>
    <n v="2.4700000000000002"/>
    <n v="2.4700000000000002"/>
    <x v="0"/>
    <x v="0"/>
    <x v="0"/>
    <n v="1.1499999999999999"/>
    <n v="1.1499999999999999"/>
  </r>
  <r>
    <s v="CTN6057466901"/>
    <s v="DZ000629"/>
    <s v="LG Electronics Algerie SARL"/>
    <s v="AIR"/>
    <s v="CPT"/>
    <m/>
    <s v="5221EA1009C"/>
    <s v="Valve Assembly,Inlet"/>
    <s v="WD951606RCH.ABWPKOS"/>
    <s v="WM"/>
    <n v="700580430"/>
    <n v="3.1"/>
    <n v="41240"/>
    <n v="3"/>
    <n v="12.67"/>
    <n v="38.01"/>
    <x v="1"/>
    <x v="0"/>
    <x v="1"/>
    <n v="3.44"/>
    <n v="3.44"/>
  </r>
  <r>
    <s v="CTN6057466901"/>
    <s v="DZ000629"/>
    <s v="LG Electronics Algerie SARL"/>
    <s v="AIR"/>
    <s v="CPT"/>
    <m/>
    <s v="EBU63174026"/>
    <s v="Mainboard,BPR Total Assembly,SVC"/>
    <s v="43LF6300.AGS"/>
    <s v="TV"/>
    <n v="700580422"/>
    <n v="1.1000000000000001"/>
    <n v="41232"/>
    <n v="1"/>
    <n v="47.33"/>
    <n v="47.33"/>
    <x v="2"/>
    <x v="0"/>
    <x v="2"/>
    <n v="1.1499999999999999"/>
    <n v="1.1499999999999999"/>
  </r>
  <r>
    <s v="CTN6057466901"/>
    <s v="DZ000629"/>
    <s v="LG Electronics Algerie SARL"/>
    <s v="AIR"/>
    <s v="CPT"/>
    <m/>
    <s v="EBR66367422"/>
    <s v="PCB Assembly,Main"/>
    <s v="ABNQ54GRLT0.ANWBDXB"/>
    <s v="AC"/>
    <n v="700580422"/>
    <n v="3.1"/>
    <n v="41232"/>
    <n v="2"/>
    <n v="24.9"/>
    <n v="49.8"/>
    <x v="4"/>
    <x v="0"/>
    <x v="4"/>
    <n v="2.29"/>
    <n v="2.29"/>
  </r>
  <r>
    <s v="CTN6057466901"/>
    <s v="DZ000629"/>
    <s v="LG Electronics Algerie SARL"/>
    <s v="AIR"/>
    <s v="CPT"/>
    <m/>
    <s v="AHT74233801"/>
    <s v="Shelf Assembly,Freezer"/>
    <s v="GR-B802HLPL.APZPEAL"/>
    <s v="RF"/>
    <n v="700580422"/>
    <n v="4.0999999999999996"/>
    <n v="41232"/>
    <n v="1"/>
    <n v="10.31"/>
    <n v="10.31"/>
    <x v="0"/>
    <x v="0"/>
    <x v="0"/>
    <n v="1.1499999999999999"/>
    <n v="1.1499999999999999"/>
  </r>
  <r>
    <s v="CTN6057466901"/>
    <s v="DZ000629"/>
    <s v="LG Electronics Algerie SARL"/>
    <s v="AIR"/>
    <s v="CPT"/>
    <m/>
    <s v="4781JR2003U"/>
    <s v="Controller Assembly"/>
    <s v="GR-B399BLQK.CPVQESA"/>
    <s v="RF"/>
    <n v="700580425"/>
    <n v="7.1"/>
    <n v="41235"/>
    <n v="1"/>
    <n v="3.27"/>
    <n v="3.27"/>
    <x v="0"/>
    <x v="0"/>
    <x v="0"/>
    <n v="1.1499999999999999"/>
    <n v="1.1499999999999999"/>
  </r>
  <r>
    <s v="CTN6057466901"/>
    <s v="DZ000629"/>
    <s v="LG Electronics Algerie SARL"/>
    <s v="AIR"/>
    <s v="CPT"/>
    <m/>
    <s v="EBR79266803"/>
    <s v="PCB Assembly,Sub"/>
    <s v="ARNU36GBGA4.ENCBUAE"/>
    <s v="AC"/>
    <n v="700580416"/>
    <n v="3.1"/>
    <n v="41226"/>
    <n v="1"/>
    <n v="1.74"/>
    <n v="1.74"/>
    <x v="4"/>
    <x v="0"/>
    <x v="4"/>
    <n v="1.1499999999999999"/>
    <n v="1.1499999999999999"/>
  </r>
  <r>
    <s v="CTN6057466901"/>
    <s v="DZ000629"/>
    <s v="LG Electronics Algerie SARL"/>
    <s v="AIR"/>
    <s v="CPT"/>
    <m/>
    <s v="EBR66367421"/>
    <s v="PCB Assembly,Main"/>
    <s v="ABNQ42GRLA0.ANWBASA"/>
    <s v="AC"/>
    <n v="700580416"/>
    <n v="16.100000000000001"/>
    <n v="41226"/>
    <n v="1"/>
    <n v="26.61"/>
    <n v="26.61"/>
    <x v="4"/>
    <x v="0"/>
    <x v="4"/>
    <n v="1.1499999999999999"/>
    <n v="1.1499999999999999"/>
  </r>
  <r>
    <s v="CTN6057466901"/>
    <s v="DZ000629"/>
    <s v="LG Electronics Algerie SARL"/>
    <s v="AIR"/>
    <s v="CPT"/>
    <m/>
    <s v="3390W1G006B"/>
    <s v="Tray,Glass"/>
    <s v="MS5647GR.CWHQBRL"/>
    <s v="CA"/>
    <n v="700580417"/>
    <n v="2.1"/>
    <n v="41227"/>
    <n v="1"/>
    <n v="9.2200000000000006"/>
    <n v="9.2200000000000006"/>
    <x v="3"/>
    <x v="0"/>
    <x v="3"/>
    <n v="1.1499999999999999"/>
    <n v="1.1499999999999999"/>
  </r>
  <r>
    <s v="CTN6057466901"/>
    <s v="DZ000629"/>
    <s v="LG Electronics Algerie SARL"/>
    <s v="AIR"/>
    <s v="CPT"/>
    <m/>
    <s v="5421JQ0023A"/>
    <s v="Evaporator Assembly"/>
    <s v="GC-409GP.CEWPDLM"/>
    <s v="RF"/>
    <n v="700580418"/>
    <n v="1.1000000000000001"/>
    <n v="41228"/>
    <n v="1"/>
    <n v="11.14"/>
    <n v="11.14"/>
    <x v="0"/>
    <x v="0"/>
    <x v="0"/>
    <n v="1.1499999999999999"/>
    <n v="1.1499999999999999"/>
  </r>
  <r>
    <s v="CTN6057466901"/>
    <s v="DZ000629"/>
    <s v="LG Electronics Algerie SARL"/>
    <s v="AIR"/>
    <s v="CPT"/>
    <m/>
    <s v="MDS66651629"/>
    <s v="Gasket"/>
    <s v="F4V5RGP2T.ASSPMEA"/>
    <s v="WM"/>
    <n v="700580420"/>
    <n v="12.1"/>
    <n v="41230"/>
    <n v="1"/>
    <n v="12.92"/>
    <n v="12.92"/>
    <x v="1"/>
    <x v="0"/>
    <x v="1"/>
    <n v="1.1499999999999999"/>
    <n v="1.1499999999999999"/>
  </r>
  <r>
    <s v="CTN6057466901"/>
    <s v="DZ000629"/>
    <s v="LG Electronics Algerie SARL"/>
    <s v="AIR"/>
    <s v="CPT"/>
    <m/>
    <s v="ADQ73273202"/>
    <s v="Filter Assembly,Air Cleaner"/>
    <s v="GN-B702GSPW.AAVPLTK"/>
    <s v="RF"/>
    <n v="700580434"/>
    <n v="2.1"/>
    <n v="41244"/>
    <n v="1"/>
    <n v="5.15"/>
    <n v="5.15"/>
    <x v="0"/>
    <x v="0"/>
    <x v="0"/>
    <n v="1.1499999999999999"/>
    <n v="1.1499999999999999"/>
  </r>
  <r>
    <s v="CTN6057466901"/>
    <s v="DZ000629"/>
    <s v="LG Electronics Algerie SARL"/>
    <s v="AIR"/>
    <s v="CPT"/>
    <m/>
    <s v="4738EN2003A"/>
    <s v="Bellows"/>
    <s v="WD-80300NP.AOWPPTP"/>
    <s v="WM"/>
    <n v="700580438"/>
    <n v="2.1"/>
    <n v="41248"/>
    <n v="2"/>
    <n v="2.5499999999999998"/>
    <n v="5.0999999999999996"/>
    <x v="1"/>
    <x v="0"/>
    <x v="1"/>
    <n v="2.29"/>
    <n v="2.29"/>
  </r>
  <r>
    <s v="CTN6057466901"/>
    <s v="DZ000629"/>
    <s v="LG Electronics Algerie SARL"/>
    <s v="AIR"/>
    <s v="CPT"/>
    <m/>
    <s v="4026DD3002A"/>
    <s v="Locker,Lock"/>
    <s v="LD-4324WH.ABWPECC"/>
    <s v="WM"/>
    <n v="700580438"/>
    <n v="5.0999999999999996"/>
    <n v="41248"/>
    <n v="1"/>
    <n v="1.28"/>
    <n v="1.28"/>
    <x v="1"/>
    <x v="0"/>
    <x v="1"/>
    <n v="1.1499999999999999"/>
    <n v="1.1499999999999999"/>
  </r>
  <r>
    <s v="CTN6057466901"/>
    <s v="DZ000629"/>
    <s v="LG Electronics Algerie SARL"/>
    <s v="AIR"/>
    <s v="CPT"/>
    <m/>
    <s v="EBR82899210"/>
    <s v="PCB Assembly,Inverter"/>
    <s v="MS2535GIS.BBKQMEB"/>
    <s v="CA"/>
    <n v="700580440"/>
    <n v="4.0999999999999996"/>
    <n v="41250"/>
    <n v="1"/>
    <n v="23.48"/>
    <n v="23.48"/>
    <x v="3"/>
    <x v="0"/>
    <x v="3"/>
    <n v="1.1499999999999999"/>
    <n v="1.1499999999999999"/>
  </r>
  <r>
    <s v="CTN6057466901"/>
    <s v="DZ000629"/>
    <s v="LG Electronics Algerie SARL"/>
    <s v="AIR"/>
    <s v="CPT"/>
    <m/>
    <s v="EAD63770013"/>
    <s v="Harness,Multi"/>
    <s v="F0K6DMK2S2.AESPMEA"/>
    <s v="WM"/>
    <n v="700580431"/>
    <n v="15.1"/>
    <n v="41241"/>
    <n v="2"/>
    <n v="21.51"/>
    <n v="43.02"/>
    <x v="1"/>
    <x v="0"/>
    <x v="1"/>
    <n v="2.29"/>
    <n v="2.29"/>
  </r>
  <r>
    <s v="CTN6057466901"/>
    <s v="DZ000629"/>
    <s v="LG Electronics Algerie SARL"/>
    <s v="AIR"/>
    <s v="CPT"/>
    <m/>
    <s v="AGM30000201"/>
    <s v="Connector,Parts Assembly,SVC"/>
    <s v="XD90DB.ABDPDEL"/>
    <s v="WM"/>
    <n v="700580426"/>
    <n v="22.1"/>
    <n v="41236"/>
    <n v="10"/>
    <n v="8.17"/>
    <n v="81.7"/>
    <x v="1"/>
    <x v="0"/>
    <x v="1"/>
    <n v="11.47"/>
    <n v="11.47"/>
  </r>
  <r>
    <s v="CTN6057466901"/>
    <s v="DZ000629"/>
    <s v="LG Electronics Algerie SARL"/>
    <s v="AIR"/>
    <s v="CPT"/>
    <m/>
    <s v="3108ER1001B"/>
    <s v="Casing,Pump"/>
    <s v="WD-16396FDK.ALSPDEL"/>
    <s v="WM"/>
    <n v="700580428"/>
    <n v="1.1000000000000001"/>
    <n v="41238"/>
    <n v="1"/>
    <n v="2.19"/>
    <n v="2.19"/>
    <x v="1"/>
    <x v="0"/>
    <x v="1"/>
    <n v="1.1499999999999999"/>
    <n v="1.1499999999999999"/>
  </r>
  <r>
    <s v="CTN6057466901"/>
    <s v="DZ000629"/>
    <s v="LG Electronics Algerie SARL"/>
    <s v="AIR"/>
    <s v="CPT"/>
    <m/>
    <s v="6322FR2046Y"/>
    <s v="Thermistor,NTC"/>
    <s v="F14U1JBHK8N.ABPPARA"/>
    <s v="WM"/>
    <n v="700580430"/>
    <n v="2.1"/>
    <n v="41240"/>
    <n v="1"/>
    <n v="3.45"/>
    <n v="3.45"/>
    <x v="1"/>
    <x v="0"/>
    <x v="1"/>
    <n v="1.1499999999999999"/>
    <n v="1.1499999999999999"/>
  </r>
  <r>
    <s v="CTN6057466901"/>
    <s v="DZ000629"/>
    <s v="LG Electronics Algerie SARL"/>
    <s v="AIR"/>
    <s v="CPT"/>
    <m/>
    <s v="MEA63470801"/>
    <s v="Guide,Fan"/>
    <s v="LS292JDVL.ANSGNAG"/>
    <s v="RF"/>
    <n v="700580430"/>
    <n v="7.1"/>
    <n v="41240"/>
    <n v="2"/>
    <n v="1.5"/>
    <n v="3"/>
    <x v="0"/>
    <x v="0"/>
    <x v="0"/>
    <n v="2.29"/>
    <n v="2.29"/>
  </r>
  <r>
    <s v="CTN6057466901"/>
    <s v="DZ000629"/>
    <s v="LG Electronics Algerie SARL"/>
    <s v="AIR"/>
    <s v="CPT"/>
    <m/>
    <s v="MEE62605616"/>
    <s v="Heater,Sheath"/>
    <s v="GC-J267SLSS.APZPEAL"/>
    <s v="RF"/>
    <n v="700580423"/>
    <n v="6.1"/>
    <n v="41233"/>
    <n v="2"/>
    <n v="13.3"/>
    <n v="26.6"/>
    <x v="0"/>
    <x v="0"/>
    <x v="0"/>
    <n v="2.29"/>
    <n v="2.29"/>
  </r>
  <r>
    <s v="CTN6057466901"/>
    <s v="DZ000629"/>
    <s v="LG Electronics Algerie SARL"/>
    <s v="AIR"/>
    <s v="CPT"/>
    <m/>
    <s v="EBR81117138"/>
    <s v="PCB Assembly,Main"/>
    <s v="ARNU12GM1A4.ENCBIBR"/>
    <s v="AC"/>
    <n v="700580423"/>
    <n v="17.100000000000001"/>
    <n v="41233"/>
    <n v="2"/>
    <n v="31.24"/>
    <n v="62.48"/>
    <x v="4"/>
    <x v="0"/>
    <x v="4"/>
    <n v="2.29"/>
    <n v="2.29"/>
  </r>
  <r>
    <s v="CTN6057466901"/>
    <s v="DZ000629"/>
    <s v="LG Electronics Algerie SARL"/>
    <s v="AIR"/>
    <s v="CPT"/>
    <s v="5859EN1002T"/>
    <s v="AHA74873601"/>
    <s v="Pump Assembly,Drain"/>
    <s v="T1166TEFT1C.AFSPEEC"/>
    <s v="WM"/>
    <n v="700580439"/>
    <n v="10.1"/>
    <n v="41249"/>
    <n v="1"/>
    <n v="9.77"/>
    <n v="9.77"/>
    <x v="1"/>
    <x v="2"/>
    <x v="1"/>
    <n v="1.1499999999999999"/>
    <n v="1.1499999999999999"/>
  </r>
  <r>
    <s v="CTN6057466901"/>
    <s v="DZ000629"/>
    <s v="LG Electronics Algerie SARL"/>
    <s v="AIR"/>
    <s v="CPT"/>
    <m/>
    <s v="EBR77678901"/>
    <s v="PCB Assembly,Sub"/>
    <s v="GR-B354SLCL.APZPEMC"/>
    <s v="RF"/>
    <n v="700580433"/>
    <n v="9.1"/>
    <n v="41243"/>
    <n v="1"/>
    <n v="16.14"/>
    <n v="16.14"/>
    <x v="0"/>
    <x v="0"/>
    <x v="0"/>
    <n v="1.1499999999999999"/>
    <n v="1.1499999999999999"/>
  </r>
  <r>
    <s v="CTN6057466901"/>
    <s v="DZ000629"/>
    <s v="LG Electronics Algerie SARL"/>
    <s v="AIR"/>
    <s v="CPT"/>
    <m/>
    <s v="EAY64450501"/>
    <s v="Power Supply Assembly"/>
    <s v="55UJ670V.AMA"/>
    <s v="TV"/>
    <n v="700580439"/>
    <n v="5.0999999999999996"/>
    <n v="41249"/>
    <n v="1"/>
    <n v="29.55"/>
    <n v="29.55"/>
    <x v="2"/>
    <x v="0"/>
    <x v="2"/>
    <n v="1.1499999999999999"/>
    <n v="1.1499999999999999"/>
  </r>
  <r>
    <s v="CTN6057466901"/>
    <s v="DZ000629"/>
    <s v="LG Electronics Algerie SARL"/>
    <s v="AIR"/>
    <s v="CPT"/>
    <m/>
    <s v="EBZ63188210"/>
    <s v="Filter,Outsourcing SVC"/>
    <s v="DC6600SU.CSTUEAS"/>
    <s v="CA"/>
    <n v="700580431"/>
    <n v="13.1"/>
    <n v="41241"/>
    <n v="1"/>
    <n v="10.15"/>
    <n v="10.15"/>
    <x v="3"/>
    <x v="0"/>
    <x v="3"/>
    <n v="1.1499999999999999"/>
    <n v="1.1499999999999999"/>
  </r>
  <r>
    <s v="CTN6057466901"/>
    <s v="DZ000629"/>
    <s v="LG Electronics Algerie SARL"/>
    <s v="AIR"/>
    <s v="CPT"/>
    <m/>
    <s v="MDG42287901"/>
    <s v="Fan,Turbo"/>
    <s v="LMNH18GTQA0.ANWBDXB"/>
    <s v="AC"/>
    <n v="700580427"/>
    <n v="1.1000000000000001"/>
    <n v="41237"/>
    <n v="2"/>
    <n v="6.33"/>
    <n v="12.66"/>
    <x v="4"/>
    <x v="0"/>
    <x v="4"/>
    <n v="2.29"/>
    <n v="2.29"/>
  </r>
  <r>
    <s v="CTN6057466901"/>
    <s v="DZ000629"/>
    <s v="LG Electronics Algerie SARL"/>
    <s v="AIR"/>
    <s v="CPT"/>
    <m/>
    <s v="COV33448501"/>
    <s v="Hose,Outsourcing SVC"/>
    <s v="VP7320NNT.CR1QLGF"/>
    <s v="VC"/>
    <n v="700580430"/>
    <n v="9.1"/>
    <n v="41240"/>
    <n v="2"/>
    <n v="5.69"/>
    <n v="11.38"/>
    <x v="5"/>
    <x v="0"/>
    <x v="5"/>
    <n v="2.29"/>
    <n v="2.29"/>
  </r>
  <r>
    <s v="CTN6057466901"/>
    <s v="DZ000629"/>
    <s v="LG Electronics Algerie SARL"/>
    <s v="AIR"/>
    <s v="CPT"/>
    <m/>
    <s v="AHT74413803"/>
    <s v="Shelf Assembly,Refrigerator"/>
    <s v="GCJ-267PHL.APZQHAF"/>
    <s v="RF"/>
    <n v="700580416"/>
    <n v="7.1"/>
    <n v="41226"/>
    <n v="2"/>
    <n v="3.6"/>
    <n v="7.2"/>
    <x v="0"/>
    <x v="0"/>
    <x v="0"/>
    <n v="2.29"/>
    <n v="2.29"/>
  </r>
  <r>
    <s v="CTN6057466901"/>
    <s v="DZ000629"/>
    <s v="LG Electronics Algerie SARL"/>
    <s v="AIR"/>
    <s v="CPT"/>
    <m/>
    <s v="EBR81604808"/>
    <s v="PCB Assembly,Inverter"/>
    <s v="MJ3965ACS.BSSQEAS"/>
    <s v="CA"/>
    <n v="700580416"/>
    <n v="14.1"/>
    <n v="41226"/>
    <n v="4"/>
    <n v="25.74"/>
    <n v="102.96"/>
    <x v="3"/>
    <x v="0"/>
    <x v="3"/>
    <n v="4.59"/>
    <n v="4.59"/>
  </r>
  <r>
    <s v="CTN6057466901"/>
    <s v="DZ000629"/>
    <s v="LG Electronics Algerie SARL"/>
    <s v="AIR"/>
    <s v="CPT"/>
    <m/>
    <s v="EBR76723416"/>
    <s v="PCB Assembly,Inverter"/>
    <s v="ABUW54GRLT0.ANWBUAE"/>
    <s v="AC"/>
    <n v="700580416"/>
    <n v="15.1"/>
    <n v="41226"/>
    <n v="1"/>
    <n v="100.21"/>
    <n v="100.21"/>
    <x v="4"/>
    <x v="0"/>
    <x v="4"/>
    <n v="1.1499999999999999"/>
    <n v="1.1499999999999999"/>
  </r>
  <r>
    <s v="CTN6057466901"/>
    <s v="DZ000629"/>
    <s v="LG Electronics Algerie SARL"/>
    <s v="AIR"/>
    <s v="CPT"/>
    <m/>
    <s v="5301FR2076D"/>
    <s v="Heater Assembly"/>
    <s v="WD-14120RD.AOWPEIN"/>
    <s v="WM"/>
    <n v="700580418"/>
    <n v="2.1"/>
    <n v="41228"/>
    <n v="2"/>
    <n v="12.63"/>
    <n v="25.26"/>
    <x v="1"/>
    <x v="0"/>
    <x v="1"/>
    <n v="2.29"/>
    <n v="2.29"/>
  </r>
  <r>
    <s v="CTN6057466901"/>
    <s v="DZ000629"/>
    <s v="LG Electronics Algerie SARL"/>
    <s v="AIR"/>
    <s v="CPT"/>
    <m/>
    <s v="EBR56463701"/>
    <s v="PCB Assembly,Sub"/>
    <s v="ARNU18GTQC2.ENWALEU"/>
    <s v="AC"/>
    <n v="700580419"/>
    <n v="1.1000000000000001"/>
    <n v="41229"/>
    <n v="2"/>
    <n v="2.27"/>
    <n v="4.54"/>
    <x v="4"/>
    <x v="0"/>
    <x v="4"/>
    <n v="2.29"/>
    <n v="2.29"/>
  </r>
  <r>
    <s v="CTN6057466901"/>
    <s v="DZ000629"/>
    <s v="LG Electronics Algerie SARL"/>
    <s v="AIR"/>
    <s v="CPT"/>
    <m/>
    <s v="EBU67032391"/>
    <s v="Mainboard,BPR Total Assembly,SVC"/>
    <s v="75UQ81006LB.APD"/>
    <s v="TV"/>
    <n v="700580420"/>
    <n v="1.1000000000000001"/>
    <n v="41230"/>
    <n v="1"/>
    <n v="58.66"/>
    <n v="58.66"/>
    <x v="2"/>
    <x v="0"/>
    <x v="2"/>
    <n v="1.1499999999999999"/>
    <n v="1.1499999999999999"/>
  </r>
  <r>
    <s v="CTN6057466901"/>
    <s v="DZ000629"/>
    <s v="LG Electronics Algerie SARL"/>
    <s v="AIR"/>
    <s v="CPT"/>
    <m/>
    <s v="AGF30112012"/>
    <s v="Package Assembly,LED Array"/>
    <s v="50UR80006LJ.AMCN"/>
    <s v="TV"/>
    <n v="700580420"/>
    <n v="3.1"/>
    <n v="41230"/>
    <n v="1"/>
    <n v="19.52"/>
    <n v="19.52"/>
    <x v="2"/>
    <x v="0"/>
    <x v="2"/>
    <n v="1.1499999999999999"/>
    <n v="1.1499999999999999"/>
  </r>
  <r>
    <s v="CTN6057466901"/>
    <s v="DZ000629"/>
    <s v="LG Electronics Algerie SARL"/>
    <s v="AIR"/>
    <s v="CPT"/>
    <m/>
    <s v="AKB76045007"/>
    <s v="Remote Controller Assembly"/>
    <s v="65QNED90T6A.AMAG"/>
    <s v="TV"/>
    <n v="700580420"/>
    <n v="5.0999999999999996"/>
    <n v="41230"/>
    <n v="3"/>
    <n v="12.72"/>
    <n v="38.159999999999997"/>
    <x v="2"/>
    <x v="4"/>
    <x v="2"/>
    <n v="3.44"/>
    <n v="3.44"/>
  </r>
  <r>
    <s v="CTN6057466901"/>
    <s v="DZ000629"/>
    <s v="LG Electronics Algerie SARL"/>
    <s v="AIR"/>
    <s v="CPT"/>
    <m/>
    <s v="AKB76043107"/>
    <s v="Remote Controller Assembly"/>
    <s v="65QNED856RA.AMAG"/>
    <s v="TV"/>
    <n v="700580420"/>
    <n v="6.1"/>
    <n v="41230"/>
    <n v="5"/>
    <n v="12.61"/>
    <n v="63.05"/>
    <x v="2"/>
    <x v="4"/>
    <x v="2"/>
    <n v="5.73"/>
    <n v="5.73"/>
  </r>
  <r>
    <s v="CTN6057466901"/>
    <s v="DZ000629"/>
    <s v="LG Electronics Algerie SARL"/>
    <s v="AIR"/>
    <s v="CPT"/>
    <s v="EBF61314813"/>
    <s v="EBF62234504"/>
    <s v="Switch,Magnet"/>
    <s v="GR-F802HLHU.APZPEAS"/>
    <s v="RF"/>
    <n v="700580431"/>
    <n v="19.100000000000001"/>
    <n v="41241"/>
    <n v="1"/>
    <n v="2.0499999999999998"/>
    <n v="2.0499999999999998"/>
    <x v="0"/>
    <x v="0"/>
    <x v="0"/>
    <n v="1.1499999999999999"/>
    <n v="1.1499999999999999"/>
  </r>
  <r>
    <s v="CTN6057466901"/>
    <s v="DZ000629"/>
    <s v="LG Electronics Algerie SARL"/>
    <s v="AIR"/>
    <s v="CPT"/>
    <s v="EAY64210702"/>
    <s v="CRB35439501"/>
    <s v="Power Supply Assembly,Recycle Board"/>
    <s v="55UH650V.AFP"/>
    <s v="TV"/>
    <n v="700580431"/>
    <n v="20.100000000000001"/>
    <n v="41241"/>
    <n v="1"/>
    <n v="24.71"/>
    <n v="24.71"/>
    <x v="2"/>
    <x v="0"/>
    <x v="2"/>
    <n v="1.1499999999999999"/>
    <n v="1.1499999999999999"/>
  </r>
  <r>
    <s v="CTN6057466901"/>
    <s v="DZ000629"/>
    <s v="LG Electronics Algerie SARL"/>
    <s v="AIR"/>
    <s v="CPT"/>
    <s v="MHJ64115301"/>
    <s v="MHJ64115302"/>
    <s v="Shaft,Turntable"/>
    <s v="MS2535GIS.BWHQEAS"/>
    <s v="CA"/>
    <n v="700580416"/>
    <n v="18.100000000000001"/>
    <n v="41226"/>
    <n v="2"/>
    <n v="0.55000000000000004"/>
    <n v="1.1000000000000001"/>
    <x v="3"/>
    <x v="0"/>
    <x v="3"/>
    <n v="2.29"/>
    <n v="2.29"/>
  </r>
  <r>
    <s v="CTN6057466901"/>
    <s v="DZ000629"/>
    <s v="LG Electronics Algerie SARL"/>
    <s v="AIR"/>
    <s v="CPT"/>
    <s v="EAY65895532"/>
    <s v="CRB38583101"/>
    <s v="Power Supply Assembly,Recycle Board"/>
    <s v="65UP8150PVB.AMFG"/>
    <s v="TV"/>
    <n v="700580423"/>
    <n v="35.1"/>
    <n v="41233"/>
    <n v="2"/>
    <n v="17.89"/>
    <n v="35.78"/>
    <x v="2"/>
    <x v="0"/>
    <x v="2"/>
    <n v="2.29"/>
    <n v="2.29"/>
  </r>
  <r>
    <s v="CTN6057466901"/>
    <s v="DZ000629"/>
    <s v="LG Electronics Algerie SARL"/>
    <s v="AIR"/>
    <s v="CPT"/>
    <m/>
    <s v="AJU73472405"/>
    <s v="Valve Assembly"/>
    <s v="ARUN100LTE4.AWGBBRZ"/>
    <s v="AC"/>
    <n v="700580433"/>
    <n v="2.1"/>
    <n v="41243"/>
    <n v="5"/>
    <n v="29.45"/>
    <n v="147.25"/>
    <x v="4"/>
    <x v="0"/>
    <x v="4"/>
    <n v="5.73"/>
    <n v="5.73"/>
  </r>
  <r>
    <s v="CTN6057466901"/>
    <s v="DZ000629"/>
    <s v="LG Electronics Algerie SARL"/>
    <s v="AIR"/>
    <s v="CPT"/>
    <m/>
    <s v="EBR77185601"/>
    <s v="Hand Insert PCB Assembly"/>
    <s v="60PB5600.AMA"/>
    <s v="TV"/>
    <n v="700580433"/>
    <n v="6.1"/>
    <n v="41243"/>
    <n v="2"/>
    <n v="19.37"/>
    <n v="38.74"/>
    <x v="2"/>
    <x v="0"/>
    <x v="2"/>
    <n v="2.29"/>
    <n v="2.29"/>
  </r>
  <r>
    <s v="CTN6057466901"/>
    <s v="DZ000629"/>
    <s v="LG Electronics Algerie SARL"/>
    <s v="AIR"/>
    <s v="CPT"/>
    <m/>
    <s v="MAG62383001"/>
    <s v="Balance Weight"/>
    <s v="F1248QDP.ABWPLTK"/>
    <s v="WM"/>
    <n v="700580434"/>
    <n v="1.1000000000000001"/>
    <n v="41244"/>
    <n v="2"/>
    <n v="6.01"/>
    <n v="12.02"/>
    <x v="1"/>
    <x v="0"/>
    <x v="1"/>
    <n v="2.29"/>
    <n v="2.29"/>
  </r>
  <r>
    <s v="CTN6057466901"/>
    <s v="DZ000629"/>
    <s v="LG Electronics Algerie SARL"/>
    <s v="AIR"/>
    <s v="CPT"/>
    <m/>
    <s v="4970FR2084R"/>
    <s v="Spring,Hinge"/>
    <s v="WD-1250ERD.ADRQESA"/>
    <s v="WM"/>
    <n v="700580435"/>
    <n v="1.1000000000000001"/>
    <n v="41245"/>
    <n v="2"/>
    <n v="1.1399999999999999"/>
    <n v="2.2799999999999998"/>
    <x v="1"/>
    <x v="0"/>
    <x v="1"/>
    <n v="2.29"/>
    <n v="2.29"/>
  </r>
  <r>
    <s v="CTN6057466901"/>
    <s v="DZ000629"/>
    <s v="LG Electronics Algerie SARL"/>
    <s v="AIR"/>
    <s v="CPT"/>
    <m/>
    <s v="4738ER1002A"/>
    <s v="Bellows"/>
    <s v="WD-12276BD.ABPRAEC"/>
    <s v="WM"/>
    <n v="700580438"/>
    <n v="1.1000000000000001"/>
    <n v="41248"/>
    <n v="1"/>
    <n v="4.72"/>
    <n v="4.72"/>
    <x v="1"/>
    <x v="0"/>
    <x v="1"/>
    <n v="1.1499999999999999"/>
    <n v="1.1499999999999999"/>
  </r>
  <r>
    <s v="CTN6057466901"/>
    <s v="DZ000629"/>
    <s v="LG Electronics Algerie SARL"/>
    <s v="AIR"/>
    <s v="CPT"/>
    <m/>
    <s v="4738EN3002A"/>
    <s v="Bellows"/>
    <s v="F8068QDP2.ABWPHFD"/>
    <s v="WM"/>
    <n v="700580438"/>
    <n v="3.1"/>
    <n v="41248"/>
    <n v="3"/>
    <n v="1.41"/>
    <n v="4.2300000000000004"/>
    <x v="1"/>
    <x v="0"/>
    <x v="1"/>
    <n v="3.44"/>
    <n v="3.44"/>
  </r>
  <r>
    <s v="CTN6057466901"/>
    <s v="DZ000629"/>
    <s v="LG Electronics Algerie SARL"/>
    <s v="AIR"/>
    <s v="CPT"/>
    <m/>
    <s v="4036ER2004A"/>
    <s v="Gasket"/>
    <s v="F1447TDP.ABWPECC"/>
    <s v="WM"/>
    <n v="700580438"/>
    <n v="4.0999999999999996"/>
    <n v="41248"/>
    <n v="5"/>
    <n v="1.87"/>
    <n v="9.35"/>
    <x v="1"/>
    <x v="0"/>
    <x v="1"/>
    <n v="5.73"/>
    <n v="5.73"/>
  </r>
  <r>
    <s v="CTN6057466901"/>
    <s v="DZ000629"/>
    <s v="LG Electronics Algerie SARL"/>
    <s v="AIR"/>
    <s v="CPT"/>
    <m/>
    <s v="4681EA1009A"/>
    <s v="Motor Assembly,AC"/>
    <s v="T1103DDP1.AFS5NAG"/>
    <s v="WM"/>
    <n v="700580438"/>
    <n v="6.1"/>
    <n v="41248"/>
    <n v="1"/>
    <n v="7.11"/>
    <n v="7.11"/>
    <x v="1"/>
    <x v="0"/>
    <x v="1"/>
    <n v="1.1499999999999999"/>
    <n v="1.1499999999999999"/>
  </r>
  <r>
    <s v="CTN6057466901"/>
    <s v="DZ000629"/>
    <s v="LG Electronics Algerie SARL"/>
    <s v="AIR"/>
    <s v="CPT"/>
    <m/>
    <s v="4680JB1039E"/>
    <s v="Motor,AC"/>
    <s v="GN-M392YVQK.ASWPVHO"/>
    <s v="RF"/>
    <n v="700580438"/>
    <n v="7.1"/>
    <n v="41248"/>
    <n v="1"/>
    <n v="9.31"/>
    <n v="9.31"/>
    <x v="0"/>
    <x v="2"/>
    <x v="0"/>
    <n v="1.1499999999999999"/>
    <n v="1.1499999999999999"/>
  </r>
  <r>
    <s v="CTN6057466901"/>
    <s v="DZ000629"/>
    <s v="LG Electronics Algerie SARL"/>
    <s v="AIR"/>
    <s v="CPT"/>
    <m/>
    <s v="MAP64433704"/>
    <s v="Bearing,Ball"/>
    <s v="F84912WH.ABWQEFS"/>
    <s v="WM"/>
    <n v="700580439"/>
    <n v="2.1"/>
    <n v="41249"/>
    <n v="3"/>
    <n v="6.09"/>
    <n v="18.27"/>
    <x v="1"/>
    <x v="0"/>
    <x v="1"/>
    <n v="3.44"/>
    <n v="3.44"/>
  </r>
  <r>
    <s v="CTN6057466901"/>
    <s v="DZ000629"/>
    <s v="LG Electronics Algerie SARL"/>
    <s v="AIR"/>
    <s v="CPT"/>
    <m/>
    <s v="6601A20013T"/>
    <s v="Switch Assembly"/>
    <s v="ARNU07GTRD4.ENWBLEU"/>
    <s v="AC"/>
    <n v="700580439"/>
    <n v="7.1"/>
    <n v="41249"/>
    <n v="3"/>
    <n v="9.0399999999999991"/>
    <n v="27.12"/>
    <x v="4"/>
    <x v="0"/>
    <x v="4"/>
    <n v="3.44"/>
    <n v="3.44"/>
  </r>
  <r>
    <s v="CTN6057466901"/>
    <s v="DZ000629"/>
    <s v="LG Electronics Algerie SARL"/>
    <s v="AIR"/>
    <s v="CPT"/>
    <m/>
    <s v="5221EA1009S"/>
    <s v="Valve Assembly,Inlet"/>
    <s v="FH4G1JCHP6N.ASSQEAS"/>
    <s v="WM"/>
    <n v="700580439"/>
    <n v="8.1"/>
    <n v="41249"/>
    <n v="2"/>
    <n v="12.56"/>
    <n v="25.12"/>
    <x v="1"/>
    <x v="0"/>
    <x v="1"/>
    <n v="2.29"/>
    <n v="2.29"/>
  </r>
  <r>
    <s v="CTN6057466901"/>
    <s v="DZ000629"/>
    <s v="LG Electronics Algerie SARL"/>
    <s v="AIR"/>
    <s v="CPT"/>
    <m/>
    <s v="AAA74919206"/>
    <s v="Accessory Assembly"/>
    <s v="PWFMDD200.ENCXLEU"/>
    <s v="AC"/>
    <n v="700580440"/>
    <n v="1.1000000000000001"/>
    <n v="41250"/>
    <n v="2"/>
    <n v="27.32"/>
    <n v="54.64"/>
    <x v="4"/>
    <x v="0"/>
    <x v="4"/>
    <n v="2.29"/>
    <n v="2.29"/>
  </r>
  <r>
    <s v="CTN6057466901"/>
    <s v="DZ000629"/>
    <s v="LG Electronics Algerie SARL"/>
    <s v="AIR"/>
    <s v="CPT"/>
    <m/>
    <s v="EBR81792505"/>
    <s v="PCB Assembly,Filter"/>
    <s v="AHUW166A3.EWGBATK"/>
    <s v="AC"/>
    <n v="700580440"/>
    <n v="3.1"/>
    <n v="41250"/>
    <n v="1"/>
    <n v="25.07"/>
    <n v="25.07"/>
    <x v="4"/>
    <x v="0"/>
    <x v="4"/>
    <n v="1.1499999999999999"/>
    <n v="1.1499999999999999"/>
  </r>
  <r>
    <s v="CTN6057466901"/>
    <s v="DZ000629"/>
    <s v="LG Electronics Algerie SARL"/>
    <s v="AIR"/>
    <s v="CPT"/>
    <m/>
    <s v="EBR87906502"/>
    <s v="PCB Assembly,Main"/>
    <s v="F4J6VS0W.ABWPCIS"/>
    <s v="WM"/>
    <n v="700580440"/>
    <n v="5.0999999999999996"/>
    <n v="41250"/>
    <n v="2"/>
    <n v="34.89"/>
    <n v="69.78"/>
    <x v="1"/>
    <x v="0"/>
    <x v="1"/>
    <n v="2.29"/>
    <n v="2.29"/>
  </r>
  <r>
    <s v="CTN6057466901"/>
    <s v="DZ000629"/>
    <s v="LG Electronics Algerie SARL"/>
    <s v="AIR"/>
    <s v="CPT"/>
    <m/>
    <s v="EAY65170108"/>
    <s v="Power Supply Assembly"/>
    <s v="43UN7340PVC.AFFG"/>
    <s v="TV"/>
    <n v="700580440"/>
    <n v="7.1"/>
    <n v="41250"/>
    <n v="1"/>
    <n v="21.07"/>
    <n v="21.07"/>
    <x v="2"/>
    <x v="0"/>
    <x v="2"/>
    <n v="1.1499999999999999"/>
    <n v="1.1499999999999999"/>
  </r>
  <r>
    <s v="CTN6057466901"/>
    <s v="DZ000629"/>
    <s v="LG Electronics Algerie SARL"/>
    <s v="AIR"/>
    <s v="CPT"/>
    <m/>
    <s v="AHR73669802"/>
    <s v="Shaft Assembly"/>
    <s v="DFB425FP.APZQESA"/>
    <s v="WM"/>
    <n v="700580440"/>
    <n v="8.1"/>
    <n v="41250"/>
    <n v="1"/>
    <n v="0.78"/>
    <n v="0.78"/>
    <x v="1"/>
    <x v="0"/>
    <x v="1"/>
    <n v="1.1499999999999999"/>
    <n v="1.1499999999999999"/>
  </r>
  <r>
    <s v="CTN6057466901"/>
    <s v="DZ000629"/>
    <s v="LG Electronics Algerie SARL"/>
    <s v="AIR"/>
    <s v="CPT"/>
    <m/>
    <s v="AJJ75138527"/>
    <s v="Supporter Assembly,PCB"/>
    <s v="MS2535GISS.BLVQDAG"/>
    <s v="CA"/>
    <n v="700580440"/>
    <n v="9.1"/>
    <n v="41250"/>
    <n v="1"/>
    <n v="25.58"/>
    <n v="25.58"/>
    <x v="3"/>
    <x v="0"/>
    <x v="3"/>
    <n v="1.1499999999999999"/>
    <n v="1.1499999999999999"/>
  </r>
  <r>
    <s v="CTN6057466901"/>
    <s v="DZ000629"/>
    <s v="LG Electronics Algerie SARL"/>
    <s v="AIR"/>
    <s v="CPT"/>
    <m/>
    <s v="AJU72912230"/>
    <s v="Valve Assembly,Inlet"/>
    <s v="T1788NEHT1.ASFPKOS"/>
    <s v="WM"/>
    <n v="700580440"/>
    <n v="13.1"/>
    <n v="41250"/>
    <n v="1"/>
    <n v="9.39"/>
    <n v="9.39"/>
    <x v="1"/>
    <x v="0"/>
    <x v="1"/>
    <n v="1.1499999999999999"/>
    <n v="1.1499999999999999"/>
  </r>
  <r>
    <s v="CTN6057466901"/>
    <s v="DZ000629"/>
    <s v="LG Electronics Algerie SARL"/>
    <s v="AIR"/>
    <s v="CPT"/>
    <m/>
    <s v="5220FR1251H"/>
    <s v="Valve Assembly,Inlet"/>
    <s v="F4V5RYP2T.ASSPLTK"/>
    <s v="WM"/>
    <n v="700580440"/>
    <n v="14.1"/>
    <n v="41250"/>
    <n v="22"/>
    <n v="6.68"/>
    <n v="146.96"/>
    <x v="1"/>
    <x v="0"/>
    <x v="1"/>
    <n v="25.23"/>
    <n v="25.23"/>
  </r>
  <r>
    <s v="CTN6057466901"/>
    <s v="DZ000629"/>
    <s v="LG Electronics Algerie SARL"/>
    <s v="AIR"/>
    <s v="CPT"/>
    <m/>
    <s v="MJX65075502"/>
    <s v="Valve,Reverse"/>
    <s v="NT187SK3.UK0"/>
    <s v="AC"/>
    <n v="700580440"/>
    <n v="15.1"/>
    <n v="41250"/>
    <n v="2"/>
    <n v="12.52"/>
    <n v="25.04"/>
    <x v="4"/>
    <x v="2"/>
    <x v="4"/>
    <n v="2.29"/>
    <n v="2.29"/>
  </r>
  <r>
    <s v="CTN6057466901"/>
    <s v="DZ000629"/>
    <s v="LG Electronics Algerie SARL"/>
    <s v="AIR"/>
    <s v="CPT"/>
    <m/>
    <s v="ACG76384502"/>
    <s v="Condenser Assembly,Wire"/>
    <s v="GC-L247SLKV.APZPMET"/>
    <s v="RF"/>
    <n v="700580440"/>
    <n v="16.100000000000001"/>
    <n v="41250"/>
    <n v="2"/>
    <n v="10.65"/>
    <n v="21.3"/>
    <x v="0"/>
    <x v="0"/>
    <x v="0"/>
    <n v="2.29"/>
    <n v="2.29"/>
  </r>
  <r>
    <s v="CTN6057466901"/>
    <s v="DZ000629"/>
    <s v="LG Electronics Algerie SARL"/>
    <s v="AIR"/>
    <s v="CPT"/>
    <m/>
    <s v="ADP73273402"/>
    <s v="Fan Assembly"/>
    <s v="GC-F411ELDM.APZPEEC"/>
    <s v="RF"/>
    <n v="700580440"/>
    <n v="19.100000000000001"/>
    <n v="41250"/>
    <n v="2"/>
    <n v="1.6"/>
    <n v="3.2"/>
    <x v="0"/>
    <x v="0"/>
    <x v="0"/>
    <n v="2.29"/>
    <n v="2.29"/>
  </r>
  <r>
    <s v="CTN6057466901"/>
    <s v="DZ000629"/>
    <s v="LG Electronics Algerie SARL"/>
    <s v="AIR"/>
    <s v="CPT"/>
    <m/>
    <s v="MDS64610513"/>
    <s v="Gasket,Home Bar"/>
    <s v="GMJ844PZKV.APZQLGU"/>
    <s v="RF"/>
    <n v="700580440"/>
    <n v="20.100000000000001"/>
    <n v="41250"/>
    <n v="1"/>
    <n v="7.11"/>
    <n v="7.11"/>
    <x v="0"/>
    <x v="0"/>
    <x v="0"/>
    <n v="1.1499999999999999"/>
    <n v="1.1499999999999999"/>
  </r>
  <r>
    <s v="CTN6057466901"/>
    <s v="DZ000629"/>
    <s v="LG Electronics Algerie SARL"/>
    <s v="AIR"/>
    <s v="CPT"/>
    <m/>
    <s v="AEH75996401"/>
    <s v="Hinge Assembly,Caster"/>
    <s v="GC-F559BLDN.APZREEF"/>
    <s v="RF"/>
    <n v="700580440"/>
    <n v="21.1"/>
    <n v="41250"/>
    <n v="1"/>
    <n v="2.46"/>
    <n v="2.46"/>
    <x v="0"/>
    <x v="0"/>
    <x v="0"/>
    <n v="1.1499999999999999"/>
    <n v="1.1499999999999999"/>
  </r>
  <r>
    <s v="CTN6057466901"/>
    <s v="DZ000629"/>
    <s v="LG Electronics Algerie SARL"/>
    <s v="AIR"/>
    <s v="CPT"/>
    <m/>
    <s v="MEJ64284801"/>
    <s v="Hose,Connector"/>
    <s v="F2WV9S8P2.ABWQPIS"/>
    <s v="WM"/>
    <n v="700580426"/>
    <n v="13.1"/>
    <n v="41236"/>
    <n v="1"/>
    <n v="5.98"/>
    <n v="5.98"/>
    <x v="1"/>
    <x v="0"/>
    <x v="1"/>
    <n v="1.1499999999999999"/>
    <n v="1.1499999999999999"/>
  </r>
  <r>
    <s v="CTN6057466901"/>
    <s v="DZ000629"/>
    <s v="LG Electronics Algerie SARL"/>
    <s v="AIR"/>
    <s v="CPT"/>
    <m/>
    <s v="MEJ64284801"/>
    <s v="Hose,Connector"/>
    <s v="F2WV9S8P2.ABWQPIS"/>
    <s v="WM"/>
    <n v="700580426"/>
    <n v="13.1"/>
    <n v="41236"/>
    <n v="1"/>
    <n v="5.98"/>
    <n v="5.98"/>
    <x v="1"/>
    <x v="0"/>
    <x v="1"/>
    <n v="1.1499999999999999"/>
    <n v="1.1499999999999999"/>
  </r>
  <r>
    <s v="CTN6057466901"/>
    <s v="DZ000629"/>
    <s v="LG Electronics Algerie SARL"/>
    <s v="AIR"/>
    <s v="CPT"/>
    <m/>
    <s v="AJB73816010"/>
    <s v="Stator Assembly"/>
    <s v="F2WV9S8P2.ABWQPIS"/>
    <s v="WM"/>
    <n v="700580426"/>
    <n v="29.1"/>
    <n v="41236"/>
    <n v="2"/>
    <n v="12.84"/>
    <n v="25.68"/>
    <x v="1"/>
    <x v="0"/>
    <x v="1"/>
    <n v="2.29"/>
    <n v="2.29"/>
  </r>
  <r>
    <s v="CTN6057466901"/>
    <s v="DZ000629"/>
    <s v="LG Electronics Algerie SARL"/>
    <s v="AIR"/>
    <s v="CPT"/>
    <s v="EBR36932815"/>
    <s v="AGF30534802"/>
    <s v="Package Assembly,PCB"/>
    <s v="ARUN100LT3.EWGBLEU"/>
    <s v="AC"/>
    <n v="700580425"/>
    <n v="11.1"/>
    <n v="41235"/>
    <n v="2"/>
    <n v="112.98"/>
    <n v="225.96"/>
    <x v="4"/>
    <x v="0"/>
    <x v="4"/>
    <n v="2.29"/>
    <n v="2.29"/>
  </r>
  <r>
    <s v="CTN6057466901"/>
    <s v="DZ000629"/>
    <s v="LG Electronics Algerie SARL"/>
    <s v="AIR"/>
    <s v="CPT"/>
    <s v="3390W1A035D"/>
    <s v="3390W1A035A"/>
    <s v="Tray,Glass"/>
    <s v="MS-1924HL.CSBQNGR"/>
    <s v="CA"/>
    <n v="700580417"/>
    <n v="5.0999999999999996"/>
    <n v="41227"/>
    <n v="1"/>
    <n v="2.4"/>
    <n v="2.4"/>
    <x v="3"/>
    <x v="0"/>
    <x v="3"/>
    <n v="1.1499999999999999"/>
    <n v="1.1499999999999999"/>
  </r>
  <r>
    <s v="CTN6057466901"/>
    <s v="DZ000629"/>
    <s v="LG Electronics Algerie SARL"/>
    <s v="AIR"/>
    <s v="CPT"/>
    <m/>
    <s v="4280EN4001F"/>
    <s v="Bearing,Ball"/>
    <s v="F1407ADSPE.ABWPMEB"/>
    <s v="WM"/>
    <n v="700580431"/>
    <n v="1.1000000000000001"/>
    <n v="41241"/>
    <n v="6"/>
    <n v="4.97"/>
    <n v="29.82"/>
    <x v="1"/>
    <x v="2"/>
    <x v="1"/>
    <n v="6.88"/>
    <n v="6.88"/>
  </r>
  <r>
    <s v="CTN6057466901"/>
    <s v="DZ000629"/>
    <s v="LG Electronics Algerie SARL"/>
    <s v="AIR"/>
    <s v="CPT"/>
    <m/>
    <s v="EBZ63138627"/>
    <s v="Pin,Outsourcing SVC"/>
    <s v="HU641DAG.CSTUEAS"/>
    <s v="CA"/>
    <n v="700580431"/>
    <n v="4.0999999999999996"/>
    <n v="41241"/>
    <n v="1"/>
    <n v="2.2599999999999998"/>
    <n v="2.2599999999999998"/>
    <x v="3"/>
    <x v="0"/>
    <x v="3"/>
    <n v="1.1499999999999999"/>
    <n v="1.1499999999999999"/>
  </r>
  <r>
    <s v="CTN6057466901"/>
    <s v="DZ000629"/>
    <s v="LG Electronics Algerie SARL"/>
    <s v="AIR"/>
    <s v="CPT"/>
    <m/>
    <s v="AJR75805401"/>
    <s v="Tube Assembly,Drain"/>
    <s v="GR-B106ELNZ.APZQCTC"/>
    <s v="RF"/>
    <n v="700580431"/>
    <n v="8.1"/>
    <n v="41241"/>
    <n v="1"/>
    <n v="1.41"/>
    <n v="1.41"/>
    <x v="0"/>
    <x v="0"/>
    <x v="0"/>
    <n v="1.1499999999999999"/>
    <n v="1.1499999999999999"/>
  </r>
  <r>
    <s v="CTN6057466901"/>
    <s v="DZ000629"/>
    <s v="LG Electronics Algerie SARL"/>
    <s v="AIR"/>
    <s v="CPT"/>
    <m/>
    <s v="AJS73129204"/>
    <s v="Turntable Assembly"/>
    <s v="MJ3965ACS.BSSQEUF"/>
    <s v="CA"/>
    <n v="700580431"/>
    <n v="9.1"/>
    <n v="41241"/>
    <n v="2"/>
    <n v="1.87"/>
    <n v="3.74"/>
    <x v="3"/>
    <x v="0"/>
    <x v="3"/>
    <n v="2.29"/>
    <n v="2.29"/>
  </r>
  <r>
    <s v="CTN6057466901"/>
    <s v="DZ000629"/>
    <s v="LG Electronics Algerie SARL"/>
    <s v="AIR"/>
    <s v="CPT"/>
    <m/>
    <s v="EBZ63188204"/>
    <s v="Button,Outsourcing SVC"/>
    <s v="DC6600SU.CSTUEAS"/>
    <s v="CA"/>
    <n v="700580431"/>
    <n v="11.1"/>
    <n v="41241"/>
    <n v="2"/>
    <n v="11.47"/>
    <n v="22.94"/>
    <x v="3"/>
    <x v="0"/>
    <x v="3"/>
    <n v="2.29"/>
    <n v="2.29"/>
  </r>
  <r>
    <s v="CTN6057466901"/>
    <s v="DZ000629"/>
    <s v="LG Electronics Algerie SARL"/>
    <s v="AIR"/>
    <s v="CPT"/>
    <m/>
    <s v="EAD63686601"/>
    <s v="Harness,Multi"/>
    <s v="PRCTIL0.ENCXLEU"/>
    <s v="AC"/>
    <n v="700580431"/>
    <n v="14.1"/>
    <n v="41241"/>
    <n v="1"/>
    <n v="4.13"/>
    <n v="4.13"/>
    <x v="4"/>
    <x v="0"/>
    <x v="4"/>
    <n v="1.1499999999999999"/>
    <n v="1.1499999999999999"/>
  </r>
  <r>
    <s v="CTN6057466901"/>
    <s v="DZ000629"/>
    <s v="LG Electronics Algerie SARL"/>
    <s v="AIR"/>
    <s v="CPT"/>
    <m/>
    <s v="EAV63613203"/>
    <s v="LED Assembly"/>
    <s v="GN-A702HLHU.APZPLTK"/>
    <s v="RF"/>
    <n v="700580431"/>
    <n v="16.100000000000001"/>
    <n v="41241"/>
    <n v="1"/>
    <n v="12.14"/>
    <n v="12.14"/>
    <x v="0"/>
    <x v="0"/>
    <x v="0"/>
    <n v="1.1499999999999999"/>
    <n v="1.1499999999999999"/>
  </r>
  <r>
    <s v="CTN6057466901"/>
    <s v="DZ000629"/>
    <s v="LG Electronics Algerie SARL"/>
    <s v="AIR"/>
    <s v="CPT"/>
    <m/>
    <s v="EBR79669813"/>
    <s v="PCB Assembly,Fan"/>
    <s v="ARUM080LTE5.EWGBLEU"/>
    <s v="AC"/>
    <n v="700580431"/>
    <n v="18.100000000000001"/>
    <n v="41241"/>
    <n v="2"/>
    <n v="45.83"/>
    <n v="91.66"/>
    <x v="4"/>
    <x v="0"/>
    <x v="4"/>
    <n v="2.29"/>
    <n v="2.29"/>
  </r>
  <r>
    <s v="CTN6057466901"/>
    <s v="DZ000629"/>
    <s v="LG Electronics Algerie SARL"/>
    <s v="AIR"/>
    <s v="CPT"/>
    <m/>
    <s v="EBZ64198526"/>
    <s v="Bracket,Outsourcing SVC"/>
    <s v="FA415RMA.CSTUEAS"/>
    <s v="CA"/>
    <n v="700580426"/>
    <n v="1.1000000000000001"/>
    <n v="41236"/>
    <n v="2"/>
    <n v="5.73"/>
    <n v="11.46"/>
    <x v="3"/>
    <x v="0"/>
    <x v="3"/>
    <n v="2.29"/>
    <n v="2.29"/>
  </r>
  <r>
    <s v="CTN6057466901"/>
    <s v="DZ000629"/>
    <s v="LG Electronics Algerie SARL"/>
    <s v="AIR"/>
    <s v="CPT"/>
    <m/>
    <s v="EBZ64198533"/>
    <s v="Supporter,Outsourcing SVC"/>
    <s v="FA415RMA.CSTUEAS"/>
    <s v="CA"/>
    <n v="700580426"/>
    <n v="30.1"/>
    <n v="41236"/>
    <n v="1"/>
    <n v="0.55000000000000004"/>
    <n v="0.55000000000000004"/>
    <x v="3"/>
    <x v="0"/>
    <x v="3"/>
    <n v="1.1499999999999999"/>
    <n v="1.1499999999999999"/>
  </r>
  <r>
    <s v="CTN6057466901"/>
    <s v="DZ000629"/>
    <s v="LG Electronics Algerie SARL"/>
    <s v="AIR"/>
    <s v="CPT"/>
    <m/>
    <s v="6877JR2042G"/>
    <s v="Harness Assembly"/>
    <s v="GCB-267PDL.ADSPELF"/>
    <s v="RF"/>
    <n v="700580426"/>
    <n v="8.1"/>
    <n v="41236"/>
    <n v="2"/>
    <n v="3.93"/>
    <n v="7.86"/>
    <x v="0"/>
    <x v="0"/>
    <x v="0"/>
    <n v="2.29"/>
    <n v="2.29"/>
  </r>
  <r>
    <s v="CTN6057466901"/>
    <s v="DZ000629"/>
    <s v="LG Electronics Algerie SARL"/>
    <s v="AIR"/>
    <s v="CPT"/>
    <m/>
    <s v="AEH73957106"/>
    <s v="Hinge Assembly,Upper"/>
    <s v="GR-J337CSAL.ANSRALY"/>
    <s v="RF"/>
    <n v="700580426"/>
    <n v="9.1"/>
    <n v="41236"/>
    <n v="1"/>
    <n v="3.13"/>
    <n v="3.13"/>
    <x v="0"/>
    <x v="0"/>
    <x v="0"/>
    <n v="1.1499999999999999"/>
    <n v="1.1499999999999999"/>
  </r>
  <r>
    <s v="CTN6057466901"/>
    <s v="DZ000629"/>
    <s v="LG Electronics Algerie SARL"/>
    <s v="AIR"/>
    <s v="CPT"/>
    <m/>
    <s v="MEG64438601"/>
    <s v="Holder"/>
    <s v="XD74P.APZPDEL"/>
    <s v="WM"/>
    <n v="700580426"/>
    <n v="10.1"/>
    <n v="41236"/>
    <n v="1"/>
    <n v="0.55000000000000004"/>
    <n v="0.55000000000000004"/>
    <x v="1"/>
    <x v="0"/>
    <x v="1"/>
    <n v="1.1499999999999999"/>
    <n v="1.1499999999999999"/>
  </r>
  <r>
    <s v="CTN6057466901"/>
    <s v="DZ000629"/>
    <s v="LG Electronics Algerie SARL"/>
    <s v="AIR"/>
    <s v="CPT"/>
    <m/>
    <s v="MEG64419101"/>
    <s v="Holder"/>
    <s v="XD74S.AESPDEL"/>
    <s v="WM"/>
    <n v="700580426"/>
    <n v="11.1"/>
    <n v="41236"/>
    <n v="1"/>
    <n v="0.59"/>
    <n v="0.59"/>
    <x v="1"/>
    <x v="0"/>
    <x v="1"/>
    <n v="1.1499999999999999"/>
    <n v="1.1499999999999999"/>
  </r>
  <r>
    <s v="CTN6057466901"/>
    <s v="DZ000629"/>
    <s v="LG Electronics Algerie SARL"/>
    <s v="AIR"/>
    <s v="CPT"/>
    <m/>
    <s v="EBR83717570"/>
    <s v="PCB Assembly,Main"/>
    <s v="GC-B247SLUV.APZPEAL"/>
    <s v="RF"/>
    <n v="700580426"/>
    <n v="16.100000000000001"/>
    <n v="41236"/>
    <n v="1"/>
    <n v="32.01"/>
    <n v="32.01"/>
    <x v="0"/>
    <x v="0"/>
    <x v="0"/>
    <n v="1.1499999999999999"/>
    <n v="1.1499999999999999"/>
  </r>
  <r>
    <s v="CTN6057466901"/>
    <s v="DZ000629"/>
    <s v="LG Electronics Algerie SARL"/>
    <s v="AIR"/>
    <s v="CPT"/>
    <m/>
    <s v="AGF80305301"/>
    <s v="Package Assembly,LED Array"/>
    <s v="43UH603V.AFK"/>
    <s v="TV"/>
    <n v="700580426"/>
    <n v="17.100000000000001"/>
    <n v="41236"/>
    <n v="2"/>
    <n v="22.5"/>
    <n v="45"/>
    <x v="2"/>
    <x v="0"/>
    <x v="2"/>
    <n v="2.29"/>
    <n v="2.29"/>
  </r>
  <r>
    <s v="CTN6057466901"/>
    <s v="DZ000629"/>
    <s v="LG Electronics Algerie SARL"/>
    <s v="AIR"/>
    <s v="CPT"/>
    <m/>
    <s v="AGF80317901"/>
    <s v="Package Assembly,LED Array"/>
    <s v="49UH620V.AFP"/>
    <s v="TV"/>
    <n v="700580426"/>
    <n v="18.100000000000001"/>
    <n v="41236"/>
    <n v="2"/>
    <n v="19.54"/>
    <n v="39.08"/>
    <x v="2"/>
    <x v="0"/>
    <x v="2"/>
    <n v="2.29"/>
    <n v="2.29"/>
  </r>
  <r>
    <s v="CTN6057466901"/>
    <s v="DZ000629"/>
    <s v="LG Electronics Algerie SARL"/>
    <s v="AIR"/>
    <s v="CPT"/>
    <m/>
    <s v="EBZ64198524"/>
    <s v="Bracket,Outsourcing SVC"/>
    <s v="FA415RMA.CSTUEAS"/>
    <s v="CA"/>
    <n v="700580426"/>
    <n v="23.1"/>
    <n v="41236"/>
    <n v="2"/>
    <n v="5.51"/>
    <n v="11.02"/>
    <x v="3"/>
    <x v="0"/>
    <x v="3"/>
    <n v="2.29"/>
    <n v="2.29"/>
  </r>
  <r>
    <s v="CTN6057466901"/>
    <s v="DZ000629"/>
    <s v="LG Electronics Algerie SARL"/>
    <s v="AIR"/>
    <s v="CPT"/>
    <m/>
    <s v="EBZ63418841"/>
    <s v="Ring,Outsourcing SVC"/>
    <s v="FA415RMA.CSTUEAS"/>
    <s v="CA"/>
    <n v="700580426"/>
    <n v="27.1"/>
    <n v="41236"/>
    <n v="1"/>
    <n v="4.32"/>
    <n v="4.32"/>
    <x v="3"/>
    <x v="0"/>
    <x v="3"/>
    <n v="1.1499999999999999"/>
    <n v="1.1499999999999999"/>
  </r>
  <r>
    <s v="CTN6057466901"/>
    <s v="DZ000629"/>
    <s v="LG Electronics Algerie SARL"/>
    <s v="AIR"/>
    <s v="CPT"/>
    <m/>
    <s v="EBZ63418865"/>
    <s v="Valve,Outsourcing SVC"/>
    <s v="FA415RMA.CSTUEAS"/>
    <s v="CA"/>
    <n v="700580426"/>
    <n v="33.1"/>
    <n v="41236"/>
    <n v="1"/>
    <n v="23.66"/>
    <n v="23.66"/>
    <x v="3"/>
    <x v="0"/>
    <x v="3"/>
    <n v="1.1499999999999999"/>
    <n v="1.1499999999999999"/>
  </r>
  <r>
    <s v="CTN6057466901"/>
    <s v="DZ000629"/>
    <s v="LG Electronics Algerie SARL"/>
    <s v="AIR"/>
    <s v="CPT"/>
    <m/>
    <s v="AGM76191401"/>
    <s v="LED Array,Parts Assembly,SVC"/>
    <s v="49LJ550V.AFAE"/>
    <s v="TV"/>
    <n v="700580426"/>
    <n v="24.1"/>
    <n v="41236"/>
    <n v="1"/>
    <n v="18.09"/>
    <n v="18.09"/>
    <x v="2"/>
    <x v="0"/>
    <x v="2"/>
    <n v="1.1499999999999999"/>
    <n v="1.1499999999999999"/>
  </r>
  <r>
    <s v="CTN6057466901"/>
    <s v="DZ000629"/>
    <s v="LG Electronics Algerie SARL"/>
    <s v="AIR"/>
    <s v="CPT"/>
    <m/>
    <s v="AKB75595342"/>
    <s v="Remote Controller Assembly"/>
    <s v="SL6YF.DEUSLLK"/>
    <s v="AV"/>
    <n v="700580426"/>
    <n v="26.1"/>
    <n v="41236"/>
    <n v="2"/>
    <n v="4.42"/>
    <n v="8.84"/>
    <x v="6"/>
    <x v="2"/>
    <x v="6"/>
    <n v="2.29"/>
    <n v="2.29"/>
  </r>
  <r>
    <s v="CTN6057466901"/>
    <s v="DZ000629"/>
    <s v="LG Electronics Algerie SARL"/>
    <s v="AIR"/>
    <s v="CPT"/>
    <m/>
    <s v="AHT75193802"/>
    <s v="Shelf Assembly,Refrigerator"/>
    <s v="GC-M297SLGT.APZPEAS"/>
    <s v="RF"/>
    <n v="700580426"/>
    <n v="28.1"/>
    <n v="41236"/>
    <n v="3"/>
    <n v="7.15"/>
    <n v="21.45"/>
    <x v="0"/>
    <x v="0"/>
    <x v="0"/>
    <n v="3.44"/>
    <n v="3.44"/>
  </r>
  <r>
    <s v="CTN6057466901"/>
    <s v="DZ000629"/>
    <s v="LG Electronics Algerie SARL"/>
    <s v="AIR"/>
    <s v="CPT"/>
    <m/>
    <s v="5220FR2067R"/>
    <s v="Valve Assembly,Inlet"/>
    <s v="F4V5RYP2T.ASSQEAS"/>
    <s v="WM"/>
    <n v="700580426"/>
    <n v="31.1"/>
    <n v="41236"/>
    <n v="2"/>
    <n v="6.83"/>
    <n v="13.66"/>
    <x v="1"/>
    <x v="0"/>
    <x v="1"/>
    <n v="2.29"/>
    <n v="2.29"/>
  </r>
  <r>
    <s v="CTN6057466901"/>
    <s v="DZ000629"/>
    <s v="LG Electronics Algerie SARL"/>
    <s v="AIR"/>
    <s v="CPT"/>
    <m/>
    <s v="5221ER1002M"/>
    <s v="Valve Assembly,Inlet"/>
    <s v="FH4G1JCSP2.ABWPDEL"/>
    <s v="WM"/>
    <n v="700580426"/>
    <n v="32.1"/>
    <n v="41236"/>
    <n v="2"/>
    <n v="14.77"/>
    <n v="29.54"/>
    <x v="1"/>
    <x v="0"/>
    <x v="1"/>
    <n v="2.29"/>
    <n v="2.29"/>
  </r>
  <r>
    <s v="CTN6057466901"/>
    <s v="DZ000629"/>
    <s v="LG Electronics Algerie SARL"/>
    <s v="AIR"/>
    <s v="CPT"/>
    <m/>
    <s v="MBP62261105"/>
    <s v="Casing,Pump"/>
    <s v="F2WV9S8P2.ABWQPIS"/>
    <s v="WM"/>
    <n v="700580426"/>
    <n v="37.1"/>
    <n v="41236"/>
    <n v="1"/>
    <n v="2.23"/>
    <n v="2.23"/>
    <x v="1"/>
    <x v="0"/>
    <x v="1"/>
    <n v="1.1499999999999999"/>
    <n v="1.1499999999999999"/>
  </r>
  <r>
    <s v="CTN6057466901"/>
    <s v="DZ000629"/>
    <s v="LG Electronics Algerie SARL"/>
    <s v="AIR"/>
    <s v="CPT"/>
    <m/>
    <s v="EBU63005703"/>
    <s v="Mainboard,BPR Total Assembly,SVC"/>
    <s v="32LF560B.AGS"/>
    <s v="TV"/>
    <n v="700580430"/>
    <n v="1.1000000000000001"/>
    <n v="41240"/>
    <n v="1"/>
    <n v="27.14"/>
    <n v="27.14"/>
    <x v="2"/>
    <x v="0"/>
    <x v="2"/>
    <n v="1.1499999999999999"/>
    <n v="1.1499999999999999"/>
  </r>
  <r>
    <s v="CTN6057466901"/>
    <s v="DZ000629"/>
    <s v="LG Electronics Algerie SARL"/>
    <s v="AIR"/>
    <s v="CPT"/>
    <m/>
    <s v="EAM60991309"/>
    <s v="Filter Assembly"/>
    <s v="FH496TD23.ABWPKOS"/>
    <s v="WM"/>
    <n v="700580430"/>
    <n v="6.1"/>
    <n v="41240"/>
    <n v="1"/>
    <n v="8.1300000000000008"/>
    <n v="8.1300000000000008"/>
    <x v="1"/>
    <x v="0"/>
    <x v="1"/>
    <n v="1.1499999999999999"/>
    <n v="1.1499999999999999"/>
  </r>
  <r>
    <s v="CTN6057466901"/>
    <s v="DZ000629"/>
    <s v="LG Electronics Algerie SARL"/>
    <s v="AIR"/>
    <s v="CPT"/>
    <m/>
    <s v="EBR80532565"/>
    <s v="PCB Assembly,Main"/>
    <s v="GCB-555HW.ASWQIRQ"/>
    <s v="RF"/>
    <n v="700580430"/>
    <n v="11.1"/>
    <n v="41240"/>
    <n v="5"/>
    <n v="29.49"/>
    <n v="147.44999999999999"/>
    <x v="0"/>
    <x v="0"/>
    <x v="0"/>
    <n v="5.73"/>
    <n v="5.73"/>
  </r>
  <r>
    <s v="CTN6057466901"/>
    <s v="DZ000629"/>
    <s v="LG Electronics Algerie SARL"/>
    <s v="AIR"/>
    <s v="CPT"/>
    <m/>
    <s v="ADQ73573301"/>
    <s v="Filter Assembly,Exhaust"/>
    <s v="VC4220NHT.CAEQLAL"/>
    <s v="VC"/>
    <n v="700580421"/>
    <n v="4.0999999999999996"/>
    <n v="41231"/>
    <n v="1"/>
    <n v="7.4"/>
    <n v="7.4"/>
    <x v="5"/>
    <x v="0"/>
    <x v="5"/>
    <n v="1.1499999999999999"/>
    <n v="1.1499999999999999"/>
  </r>
  <r>
    <s v="CTN6057852301"/>
    <s v="DZ000629"/>
    <s v="LG Electronics Algerie SARL"/>
    <s v="AIR"/>
    <s v="CPT"/>
    <m/>
    <s v="ADJ75092213"/>
    <s v="Duct Assembly,Multi"/>
    <s v="GR-H572HLHU.DPZPEMC"/>
    <s v="RF"/>
    <n v="700580426"/>
    <n v="5.0999999999999996"/>
    <n v="41236"/>
    <n v="3"/>
    <n v="21.51"/>
    <n v="64.53"/>
    <x v="0"/>
    <x v="0"/>
    <x v="0"/>
    <n v="3.44"/>
    <n v="3.44"/>
  </r>
  <r>
    <s v="CTN6057852301"/>
    <s v="DZ000629"/>
    <s v="LG Electronics Algerie SARL"/>
    <s v="AIR"/>
    <s v="CPT"/>
    <m/>
    <s v="MCK67693001"/>
    <s v="Cover,Cabinet"/>
    <s v="FH0D7DDMK62.AESPEEC"/>
    <s v="WM"/>
    <n v="700580426"/>
    <n v="2.1"/>
    <n v="41236"/>
    <n v="1"/>
    <n v="33.54"/>
    <n v="33.54"/>
    <x v="1"/>
    <x v="0"/>
    <x v="1"/>
    <n v="1.1499999999999999"/>
    <n v="1.1499999999999999"/>
  </r>
  <r>
    <s v="CTN6057852301"/>
    <s v="DZ000629"/>
    <s v="LG Electronics Algerie SARL"/>
    <s v="AIR"/>
    <s v="CPT"/>
    <m/>
    <s v="3550EN0004D"/>
    <s v="Cover,Tub"/>
    <s v="F1222TD5.ALSQSBT"/>
    <s v="WM"/>
    <n v="700580440"/>
    <n v="18.100000000000001"/>
    <n v="41250"/>
    <n v="3"/>
    <n v="12.56"/>
    <n v="37.68"/>
    <x v="1"/>
    <x v="0"/>
    <x v="1"/>
    <n v="3.44"/>
    <n v="3.44"/>
  </r>
  <r>
    <s v="CTN6057852301"/>
    <s v="DZ000629"/>
    <s v="LG Electronics Algerie SARL"/>
    <s v="AIR"/>
    <s v="CPT"/>
    <m/>
    <s v="MJS64751805"/>
    <s v="Tray,Vegetable"/>
    <s v="GC-B569BQCZ.ASWPLTK"/>
    <s v="RF"/>
    <n v="700580440"/>
    <n v="10.1"/>
    <n v="41250"/>
    <n v="1"/>
    <n v="11.26"/>
    <n v="11.26"/>
    <x v="0"/>
    <x v="0"/>
    <x v="0"/>
    <n v="1.1499999999999999"/>
    <n v="1.1499999999999999"/>
  </r>
  <r>
    <s v="CTN6057852301"/>
    <s v="DZ000629"/>
    <s v="LG Electronics Algerie SARL"/>
    <s v="AIR"/>
    <s v="CPT"/>
    <m/>
    <s v="MDS64610521"/>
    <s v="Gasket,Home Bar"/>
    <s v="GC-X267SQCS.ASWPEAL"/>
    <s v="RF"/>
    <n v="700580423"/>
    <n v="4.0999999999999996"/>
    <n v="41233"/>
    <n v="1"/>
    <n v="7.36"/>
    <n v="7.36"/>
    <x v="0"/>
    <x v="0"/>
    <x v="0"/>
    <n v="1.1499999999999999"/>
    <n v="1.1499999999999999"/>
  </r>
  <r>
    <s v="CTN6057852301"/>
    <s v="DZ000629"/>
    <s v="LG Electronics Algerie SARL"/>
    <s v="AIR"/>
    <s v="CPT"/>
    <m/>
    <s v="ABQ74149302"/>
    <s v="Case Assembly,Control Refrigerator"/>
    <s v="GC-B419SLQK.APVPARY"/>
    <s v="RF"/>
    <n v="700580421"/>
    <n v="2.1"/>
    <n v="41231"/>
    <n v="2"/>
    <n v="13.8"/>
    <n v="27.6"/>
    <x v="0"/>
    <x v="0"/>
    <x v="0"/>
    <n v="2.29"/>
    <n v="2.29"/>
  </r>
  <r>
    <s v="CTN6057852301"/>
    <s v="DZ000629"/>
    <s v="LG Electronics Algerie SARL"/>
    <s v="AIR"/>
    <s v="CPT"/>
    <m/>
    <s v="ACQ85458105"/>
    <s v="Cover Assembly,Tray Vegetable"/>
    <s v="GC-M502HLHM.APZPLTK"/>
    <s v="RF"/>
    <n v="700580422"/>
    <n v="10.1"/>
    <n v="41232"/>
    <n v="2"/>
    <n v="8.76"/>
    <n v="17.52"/>
    <x v="0"/>
    <x v="0"/>
    <x v="0"/>
    <n v="2.29"/>
    <n v="2.29"/>
  </r>
  <r>
    <s v="CTN6057852301"/>
    <s v="DZ000629"/>
    <s v="LG Electronics Algerie SARL"/>
    <s v="AIR"/>
    <s v="CPT"/>
    <m/>
    <s v="ADL73980901"/>
    <s v="Evaporator Assembly"/>
    <s v="GRD-324PS.ANSPSLC"/>
    <s v="RF"/>
    <n v="700580433"/>
    <n v="4.0999999999999996"/>
    <n v="41243"/>
    <n v="1"/>
    <n v="26.58"/>
    <n v="26.58"/>
    <x v="0"/>
    <x v="0"/>
    <x v="0"/>
    <n v="1.1499999999999999"/>
    <n v="1.1499999999999999"/>
  </r>
  <r>
    <s v="CTN6057852301"/>
    <s v="DZ000629"/>
    <s v="LG Electronics Algerie SARL"/>
    <s v="AIR"/>
    <s v="CPT"/>
    <m/>
    <s v="ACQ30461402"/>
    <s v="Cover Assembly,Tray Vegetable"/>
    <s v="GN-B502PQGB.ADSQMEA"/>
    <s v="RF"/>
    <n v="700580423"/>
    <n v="32.1"/>
    <n v="41233"/>
    <n v="1"/>
    <n v="2.23"/>
    <n v="2.23"/>
    <x v="0"/>
    <x v="0"/>
    <x v="0"/>
    <n v="1.1499999999999999"/>
    <n v="1.1499999999999999"/>
  </r>
  <r>
    <s v="CTN6057852301"/>
    <s v="DZ000629"/>
    <s v="LG Electronics Algerie SARL"/>
    <s v="AIR"/>
    <s v="CPT"/>
    <m/>
    <s v="ABJ75207116"/>
    <s v="Cabinet Assembly"/>
    <s v="T1288NEHTG.DSFPOGE"/>
    <s v="WM"/>
    <n v="700580420"/>
    <n v="8.1"/>
    <n v="41230"/>
    <n v="1"/>
    <n v="49.32"/>
    <n v="49.32"/>
    <x v="1"/>
    <x v="0"/>
    <x v="1"/>
    <n v="1.1499999999999999"/>
    <n v="1.1499999999999999"/>
  </r>
  <r>
    <s v="CTN6057870701"/>
    <s v="DZ000629"/>
    <s v="LG Electronics Algerie SARL"/>
    <s v="AIR"/>
    <s v="CPT"/>
    <s v="ADL74681001"/>
    <s v="ADL74681003"/>
    <s v="Evaporator Assembly"/>
    <s v="GN-B402SLCB.APZRALY"/>
    <s v="RF"/>
    <n v="700580430"/>
    <n v="12.1"/>
    <n v="41240"/>
    <n v="1"/>
    <n v="31.29"/>
    <n v="31.29"/>
    <x v="0"/>
    <x v="0"/>
    <x v="0"/>
    <n v="1.1499999999999999"/>
    <n v="1.1499999999999999"/>
  </r>
  <r>
    <s v="CTN6057870701"/>
    <s v="DZ000629"/>
    <s v="LG Electronics Algerie SARL"/>
    <s v="AIR"/>
    <s v="CPT"/>
    <m/>
    <s v="AEB73224808"/>
    <s v="Grille Assembly,Fan"/>
    <s v="GCJ-267PHL.APZQHAF"/>
    <s v="RF"/>
    <n v="700580416"/>
    <n v="13.1"/>
    <n v="41226"/>
    <n v="2"/>
    <n v="14.88"/>
    <n v="29.76"/>
    <x v="0"/>
    <x v="0"/>
    <x v="0"/>
    <n v="2.29"/>
    <n v="2.29"/>
  </r>
  <r>
    <s v="CTN6057870701"/>
    <s v="DZ000629"/>
    <s v="LG Electronics Algerie SARL"/>
    <s v="AIR"/>
    <s v="CPT"/>
    <s v="EAU61723706"/>
    <s v="EAU61723704"/>
    <s v="Motor Assembly,DC,Fan"/>
    <s v="FH19VB.AKOR"/>
    <s v="WM"/>
    <n v="700580420"/>
    <n v="16.100000000000001"/>
    <n v="41230"/>
    <n v="2"/>
    <n v="23.22"/>
    <n v="46.44"/>
    <x v="1"/>
    <x v="2"/>
    <x v="1"/>
    <n v="2.29"/>
    <n v="2.29"/>
  </r>
  <r>
    <s v="CTN6057870701"/>
    <s v="DZ000629"/>
    <s v="LG Electronics Algerie SARL"/>
    <s v="AIR"/>
    <s v="CPT"/>
    <m/>
    <s v="ABQ30084502"/>
    <s v="Case Assembly,Control(Outdoor)"/>
    <s v="A24CMH.UGGFA"/>
    <s v="AC"/>
    <n v="700580440"/>
    <n v="12.1"/>
    <n v="41250"/>
    <n v="1"/>
    <n v="70.16"/>
    <n v="70.16"/>
    <x v="4"/>
    <x v="0"/>
    <x v="4"/>
    <n v="1.1499999999999999"/>
    <n v="1.1499999999999999"/>
  </r>
  <r>
    <s v="CTN6057870701"/>
    <s v="DZ000629"/>
    <s v="LG Electronics Algerie SARL"/>
    <s v="AIR"/>
    <s v="CPT"/>
    <m/>
    <s v="AJK73210002"/>
    <s v="Suspension Assembly"/>
    <s v="T1366NEFT.ABWPEEC"/>
    <s v="WM"/>
    <n v="700580431"/>
    <n v="6.1"/>
    <n v="41241"/>
    <n v="2"/>
    <n v="3.67"/>
    <n v="7.34"/>
    <x v="1"/>
    <x v="0"/>
    <x v="1"/>
    <n v="2.29"/>
    <n v="2.29"/>
  </r>
  <r>
    <s v="CTN6057870701"/>
    <s v="DZ000629"/>
    <s v="LG Electronics Algerie SARL"/>
    <s v="AIR"/>
    <s v="CPT"/>
    <m/>
    <s v="EBZ64198532"/>
    <s v="Handle,Outsourcing SVC"/>
    <s v="FA415RMA.CSTUEAS"/>
    <s v="CA"/>
    <n v="700580426"/>
    <n v="7.1"/>
    <n v="41236"/>
    <n v="1"/>
    <n v="25.22"/>
    <n v="25.22"/>
    <x v="3"/>
    <x v="0"/>
    <x v="3"/>
    <n v="1.1499999999999999"/>
    <n v="1.1499999999999999"/>
  </r>
  <r>
    <s v="CTN6057870701"/>
    <s v="DZ000629"/>
    <s v="LG Electronics Algerie SARL"/>
    <s v="AIR"/>
    <s v="CPT"/>
    <m/>
    <s v="AHB73129502"/>
    <s v="Rack Assembly"/>
    <s v="XD74S.AESPDEL"/>
    <s v="WM"/>
    <n v="700580426"/>
    <n v="25.1"/>
    <n v="41236"/>
    <n v="1"/>
    <n v="14.34"/>
    <n v="14.34"/>
    <x v="1"/>
    <x v="0"/>
    <x v="1"/>
    <n v="1.1499999999999999"/>
    <n v="1.1499999999999999"/>
  </r>
  <r>
    <s v="CTN6057870701"/>
    <s v="DZ000629"/>
    <s v="LG Electronics Algerie SARL"/>
    <s v="AIR"/>
    <s v="CPT"/>
    <m/>
    <s v="ACG73444962"/>
    <s v="Condenser Assembly,Bending"/>
    <s v="M126EH.UB0"/>
    <s v="AC"/>
    <n v="700580426"/>
    <n v="38.1"/>
    <n v="41236"/>
    <n v="2"/>
    <n v="41.97"/>
    <n v="83.94"/>
    <x v="4"/>
    <x v="0"/>
    <x v="4"/>
    <n v="2.29"/>
    <n v="2.29"/>
  </r>
  <r>
    <s v="CTN6057870701"/>
    <s v="DZ000629"/>
    <s v="LG Electronics Algerie SARL"/>
    <s v="AIR"/>
    <s v="CPT"/>
    <m/>
    <s v="ACQ85595101"/>
    <s v="Cover Assembly,Machinery(Rear)"/>
    <s v="GR-T290GLX.APVPDLM"/>
    <s v="RF"/>
    <n v="700580425"/>
    <n v="8.1"/>
    <n v="41235"/>
    <n v="2"/>
    <n v="6.23"/>
    <n v="12.46"/>
    <x v="0"/>
    <x v="0"/>
    <x v="0"/>
    <n v="2.29"/>
    <n v="2.29"/>
  </r>
  <r>
    <s v="CTN6057870701"/>
    <s v="DZ000629"/>
    <s v="LG Electronics Algerie SARL"/>
    <s v="AIR"/>
    <s v="CPT"/>
    <m/>
    <s v="AJP30627502"/>
    <s v="Tray Assembly,Drawer"/>
    <s v="GC-F399BVQ.CWBPEMC"/>
    <s v="RF"/>
    <n v="700580437"/>
    <n v="1.1000000000000001"/>
    <n v="41247"/>
    <n v="1"/>
    <n v="8.76"/>
    <n v="8.76"/>
    <x v="0"/>
    <x v="0"/>
    <x v="0"/>
    <n v="1.1499999999999999"/>
    <n v="1.1499999999999999"/>
  </r>
  <r>
    <s v="CTN6057870701"/>
    <s v="DZ000629"/>
    <s v="LG Electronics Algerie SARL"/>
    <s v="AIR"/>
    <s v="CPT"/>
    <m/>
    <s v="AED73373103"/>
    <s v="Handle Assembly,Refrigerator"/>
    <s v="GR-T290GBX.ASWPDLM"/>
    <s v="RF"/>
    <n v="700580425"/>
    <n v="9.1"/>
    <n v="41235"/>
    <n v="1"/>
    <n v="4.58"/>
    <n v="4.58"/>
    <x v="0"/>
    <x v="0"/>
    <x v="0"/>
    <n v="1.1499999999999999"/>
    <n v="1.1499999999999999"/>
  </r>
  <r>
    <s v="CTN6057870701"/>
    <s v="DZ000629"/>
    <s v="LG Electronics Algerie SARL"/>
    <s v="AIR"/>
    <s v="CPT"/>
    <m/>
    <n v="5400377299"/>
    <s v="Louver,Horizontal,Foreign Sourcing Foreign Sale"/>
    <s v="KSNH0964NA1.AMBBLMC"/>
    <s v="AC"/>
    <n v="700580433"/>
    <n v="8.1"/>
    <n v="41243"/>
    <n v="2"/>
    <n v="11.04"/>
    <n v="22.08"/>
    <x v="4"/>
    <x v="0"/>
    <x v="4"/>
    <n v="2.29"/>
    <n v="2.29"/>
  </r>
  <r>
    <s v="CTN6057870701"/>
    <s v="DZ000629"/>
    <s v="LG Electronics Algerie SARL"/>
    <s v="AIR"/>
    <s v="CPT"/>
    <m/>
    <s v="5208ER1003A"/>
    <s v="Duct,Outlet"/>
    <s v="WD-1250ERD.ADRQESA"/>
    <s v="WM"/>
    <n v="700580432"/>
    <n v="1.1000000000000001"/>
    <n v="41242"/>
    <n v="2"/>
    <n v="6.65"/>
    <n v="13.3"/>
    <x v="1"/>
    <x v="0"/>
    <x v="1"/>
    <n v="2.29"/>
    <n v="2.29"/>
  </r>
  <r>
    <s v="CTN6057870701"/>
    <s v="DZ000629"/>
    <s v="LG Electronics Algerie SARL"/>
    <s v="AIR"/>
    <s v="CPT"/>
    <m/>
    <s v="ACQ89579306"/>
    <s v="Cover Assembly,Tray Vegetable"/>
    <s v="GR-B265MAJ.ANSQAGE"/>
    <s v="RF"/>
    <n v="700580426"/>
    <n v="39.1"/>
    <n v="41236"/>
    <n v="1"/>
    <n v="11.88"/>
    <n v="11.88"/>
    <x v="0"/>
    <x v="0"/>
    <x v="0"/>
    <n v="1.1499999999999999"/>
    <n v="1.1499999999999999"/>
  </r>
  <r>
    <s v="CTN6057870701"/>
    <s v="DZ000629"/>
    <s v="LG Electronics Algerie SARL"/>
    <s v="AIR"/>
    <s v="CPT"/>
    <m/>
    <s v="AHT74594202"/>
    <s v="Shelf Assembly,Refrigerator"/>
    <s v="GNB-555GL.ABMQIRQ"/>
    <s v="RF"/>
    <n v="700580424"/>
    <n v="6.1"/>
    <n v="41234"/>
    <n v="1"/>
    <n v="17.87"/>
    <n v="17.87"/>
    <x v="0"/>
    <x v="0"/>
    <x v="0"/>
    <n v="1.1499999999999999"/>
    <n v="1.1499999999999999"/>
  </r>
  <r>
    <s v="CTN6057870701"/>
    <s v="DZ000629"/>
    <s v="LG Electronics Algerie SARL"/>
    <s v="AIR"/>
    <s v="CPT"/>
    <m/>
    <s v="ADL76709801"/>
    <s v="Evaporator Assembly"/>
    <s v="GR-B312PLGB.APZPEMC"/>
    <s v="RF"/>
    <n v="700580423"/>
    <n v="34.1"/>
    <n v="41233"/>
    <n v="1"/>
    <n v="33.229999999999997"/>
    <n v="33.229999999999997"/>
    <x v="0"/>
    <x v="0"/>
    <x v="0"/>
    <n v="1.1499999999999999"/>
    <n v="1.1499999999999999"/>
  </r>
  <r>
    <s v="CTN6057870701"/>
    <s v="DZ000629"/>
    <s v="LG Electronics Algerie SARL"/>
    <s v="AIR"/>
    <s v="CPT"/>
    <m/>
    <s v="MAN64890001"/>
    <s v="Basket,Door"/>
    <s v="GC-J267SLSS.APZPEAL"/>
    <s v="RF"/>
    <n v="700580423"/>
    <n v="12.1"/>
    <n v="41233"/>
    <n v="2"/>
    <n v="5.15"/>
    <n v="10.3"/>
    <x v="0"/>
    <x v="0"/>
    <x v="0"/>
    <n v="2.29"/>
    <n v="2.29"/>
  </r>
  <r>
    <s v="CTN6057870701"/>
    <s v="DZ000629"/>
    <s v="LG Electronics Algerie SARL"/>
    <s v="AIR"/>
    <s v="CPT"/>
    <m/>
    <s v="ADC73669402"/>
    <s v="Door Assembly,Fresh Room"/>
    <s v="GN-M622HSHL.ANSPEEC"/>
    <s v="RF"/>
    <n v="700580422"/>
    <n v="11.1"/>
    <n v="41232"/>
    <n v="1"/>
    <n v="12.32"/>
    <n v="12.32"/>
    <x v="0"/>
    <x v="0"/>
    <x v="0"/>
    <n v="1.1499999999999999"/>
    <n v="1.1499999999999999"/>
  </r>
  <r>
    <s v="CTN6057870701"/>
    <s v="DZ000629"/>
    <s v="LG Electronics Algerie SARL"/>
    <s v="AIR"/>
    <s v="CPT"/>
    <m/>
    <s v="MAN62309901"/>
    <s v="Basket,Door"/>
    <s v="GR-T2325GLX.APVPDLM"/>
    <s v="RF"/>
    <n v="700580425"/>
    <n v="1.1000000000000001"/>
    <n v="41235"/>
    <n v="2"/>
    <n v="12.1"/>
    <n v="24.2"/>
    <x v="0"/>
    <x v="0"/>
    <x v="0"/>
    <n v="2.29"/>
    <n v="2.29"/>
  </r>
  <r>
    <s v="CTN6057870701"/>
    <s v="DZ000629"/>
    <s v="LG Electronics Algerie SARL"/>
    <s v="AIR"/>
    <s v="CPT"/>
    <m/>
    <s v="MAN62288702"/>
    <s v="Basket,Door"/>
    <s v="GC7221PS.APZQGSF"/>
    <s v="RF"/>
    <n v="700580422"/>
    <n v="5.0999999999999996"/>
    <n v="41232"/>
    <n v="1"/>
    <n v="4.18"/>
    <n v="4.18"/>
    <x v="0"/>
    <x v="0"/>
    <x v="0"/>
    <n v="1.1499999999999999"/>
    <n v="1.1499999999999999"/>
  </r>
  <r>
    <s v="CTN6057870701"/>
    <s v="DZ000629"/>
    <s v="LG Electronics Algerie SARL"/>
    <s v="AIR"/>
    <s v="CPT"/>
    <m/>
    <s v="4891W0N010Y"/>
    <s v="Window Assembly"/>
    <s v="LB645329T1.BSTZEAS"/>
    <s v="CA"/>
    <n v="700580431"/>
    <n v="10.1"/>
    <n v="41241"/>
    <n v="2"/>
    <n v="23.49"/>
    <n v="46.98"/>
    <x v="3"/>
    <x v="0"/>
    <x v="3"/>
    <n v="2.29"/>
    <n v="2.29"/>
  </r>
  <r>
    <s v="CTN6057870701"/>
    <s v="DZ000629"/>
    <s v="LG Electronics Algerie SARL"/>
    <s v="AIR"/>
    <s v="CPT"/>
    <m/>
    <s v="EBZ64570390"/>
    <s v="Case,Outsourcing SVC"/>
    <s v="LS19GBBDI.AHSGNGH"/>
    <s v="RF"/>
    <n v="700580423"/>
    <n v="29.1"/>
    <n v="41233"/>
    <n v="1"/>
    <n v="66.47"/>
    <n v="66.47"/>
    <x v="0"/>
    <x v="0"/>
    <x v="0"/>
    <n v="1.1499999999999999"/>
    <n v="1.1499999999999999"/>
  </r>
  <r>
    <s v="CTN6057870701"/>
    <s v="DZ000629"/>
    <s v="LG Electronics Algerie SARL"/>
    <s v="AIR"/>
    <s v="CPT"/>
    <m/>
    <s v="AHT74873803"/>
    <s v="Shelf Assembly,Refrigerator"/>
    <s v="GR-H572HLHL.DPZPEMC"/>
    <s v="RF"/>
    <n v="700580423"/>
    <n v="25.1"/>
    <n v="41233"/>
    <n v="2"/>
    <n v="9.25"/>
    <n v="18.5"/>
    <x v="0"/>
    <x v="0"/>
    <x v="0"/>
    <n v="2.29"/>
    <n v="2.29"/>
  </r>
  <r>
    <s v="CTN6057870701"/>
    <s v="DZ000629"/>
    <s v="LG Electronics Algerie SARL"/>
    <s v="AIR"/>
    <s v="CPT"/>
    <m/>
    <s v="EBZ63418872"/>
    <s v="Panel,Outsourcing SVC"/>
    <s v="FA415RMA.CSTUEAS"/>
    <s v="CA"/>
    <n v="700580426"/>
    <n v="20.100000000000001"/>
    <n v="41236"/>
    <n v="2"/>
    <n v="27.26"/>
    <n v="54.52"/>
    <x v="3"/>
    <x v="0"/>
    <x v="3"/>
    <n v="2.29"/>
    <n v="2.29"/>
  </r>
  <r>
    <s v="CTN6057870701"/>
    <s v="DZ000629"/>
    <s v="LG Electronics Algerie SARL"/>
    <s v="AIR"/>
    <s v="CPT"/>
    <m/>
    <s v="AHB34434803"/>
    <s v="Rack Assembly"/>
    <s v="D1420BF.ABPPAKD"/>
    <s v="WM"/>
    <n v="700580421"/>
    <n v="8.1"/>
    <n v="41231"/>
    <n v="1"/>
    <n v="20.94"/>
    <n v="20.94"/>
    <x v="1"/>
    <x v="0"/>
    <x v="1"/>
    <n v="1.1499999999999999"/>
    <n v="1.149999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DZ000629"/>
    <s v="LG Electronics Algerie SARL"/>
    <s v="AIR"/>
    <s v="CPT"/>
    <m/>
    <s v="AEB75484909"/>
    <s v="Grille Assembly,Fan"/>
    <s v="GC-B22FTLFL.APZPEAS"/>
    <s v="RF"/>
    <n v="700576839"/>
    <n v="1.1000000000000001"/>
    <n v="40855"/>
    <n v="2"/>
    <n v="20.71"/>
    <n v="41.42"/>
    <n v="84189990"/>
    <s v="SOUTH KOREA"/>
  </r>
  <r>
    <x v="1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Data" updatedVersion="5" minRefreshableVersion="3" showDrill="0" showMemberPropertyTips="0" useAutoFormatting="1" itemPrintTitles="1" createdVersion="6" indent="0" compact="0" compactData="0">
  <location ref="D1:F3" firstHeaderRow="1" firstDataRow="2" firstDataCol="0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3">
        <item x="0"/>
        <item x="1"/>
        <item x="5"/>
        <item x="6"/>
        <item x="4"/>
        <item x="3"/>
        <item x="2"/>
        <item m="1" x="18"/>
        <item m="1" x="16"/>
        <item m="1" x="14"/>
        <item m="1" x="19"/>
        <item m="1" x="13"/>
        <item m="1" x="20"/>
        <item m="1" x="8"/>
        <item m="1" x="22"/>
        <item m="1" x="10"/>
        <item m="1" x="15"/>
        <item m="1" x="7"/>
        <item m="1" x="21"/>
        <item m="1" x="17"/>
        <item m="1" x="9"/>
        <item m="1" x="1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8">
        <item x="2"/>
        <item x="4"/>
        <item m="1" x="21"/>
        <item m="1" x="11"/>
        <item m="1" x="17"/>
        <item m="1" x="24"/>
        <item x="1"/>
        <item m="1" x="7"/>
        <item x="0"/>
        <item m="1" x="22"/>
        <item m="1" x="26"/>
        <item m="1" x="18"/>
        <item m="1" x="9"/>
        <item m="1" x="6"/>
        <item m="1" x="12"/>
        <item m="1" x="23"/>
        <item m="1" x="20"/>
        <item m="1" x="16"/>
        <item m="1" x="19"/>
        <item m="1" x="27"/>
        <item m="1" x="8"/>
        <item m="1" x="10"/>
        <item m="1" x="13"/>
        <item m="1" x="14"/>
        <item m="1" x="5"/>
        <item m="1" x="15"/>
        <item m="1" x="2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 numFmtId="43"/>
  </dataFields>
  <formats count="4">
    <format dxfId="9">
      <pivotArea field="16" type="button" dataOnly="0" labelOnly="1" outline="0"/>
    </format>
    <format dxfId="8">
      <pivotArea field="17" type="button" dataOnly="0" labelOnly="1" outline="0"/>
    </format>
    <format dxfId="7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6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5" applyNumberFormats="0" applyBorderFormats="0" applyFontFormats="0" applyPatternFormats="0" applyAlignmentFormats="0" applyWidthHeightFormats="1" dataCaption="Data" updatedVersion="8" minRefreshableVersion="3" asteriskTotals="1" showMemberPropertyTips="0" useAutoFormatting="1" rowGrandTotals="0" colGrandTotals="0" itemPrintTitles="1" createdVersion="6" indent="0" showHeaders="0" compact="0" compactData="0">
  <location ref="I6:I7" firstHeaderRow="0" firstDataRow="0" firstDataCol="1"/>
  <pivotFields count="18">
    <pivotField axis="axisRow" compact="0" outline="0" showAll="0" defaultSubtotal="0">
      <items count="8000">
        <item m="1" x="7262"/>
        <item m="1" x="4394"/>
        <item m="1" x="2108"/>
        <item m="1" x="7753"/>
        <item m="1" x="4704"/>
        <item m="1" x="85"/>
        <item m="1" x="5409"/>
        <item m="1" x="3166"/>
        <item m="1" x="797"/>
        <item x="1"/>
        <item m="1" x="5698"/>
        <item m="1" x="2994"/>
        <item m="1" x="619"/>
        <item m="1" x="5011"/>
        <item m="1" x="3664"/>
        <item m="1" x="1343"/>
        <item m="1" x="6464"/>
        <item m="1" x="1100"/>
        <item m="1" x="4762"/>
        <item m="1" x="2534"/>
        <item m="1" x="160"/>
        <item m="1" x="3936"/>
        <item m="1" x="735"/>
        <item m="1" x="4301"/>
        <item m="1" x="84"/>
        <item m="1" x="2253"/>
        <item m="1" x="5281"/>
        <item m="1" x="779"/>
        <item m="1" x="6505"/>
        <item m="1" x="5671"/>
        <item m="1" x="3432"/>
        <item m="1" x="1113"/>
        <item m="1" x="392"/>
        <item m="1" x="4798"/>
        <item m="1" x="3420"/>
        <item m="1" x="6228"/>
        <item m="1" x="3941"/>
        <item m="1" x="767"/>
        <item m="1" x="6490"/>
        <item m="1" x="4841"/>
        <item m="1" x="2602"/>
        <item m="1" x="736"/>
        <item m="1" x="3298"/>
        <item m="1" x="7945"/>
        <item m="1" x="612"/>
        <item m="1" x="4593"/>
        <item m="1" x="2324"/>
        <item m="1" x="7379"/>
        <item m="1" x="3796"/>
        <item m="1" x="525"/>
        <item m="1" x="7950"/>
        <item m="1" x="4407"/>
        <item m="1" x="2114"/>
        <item m="1" x="7756"/>
        <item m="1" x="4165"/>
        <item m="1" x="1195"/>
        <item m="1" x="6932"/>
        <item m="1" x="1981"/>
        <item m="1" x="7650"/>
        <item m="1" x="6246"/>
        <item m="1" x="1901"/>
        <item m="1" x="7561"/>
        <item m="1" x="6241"/>
        <item m="1" x="3959"/>
        <item m="1" x="1661"/>
        <item m="1" x="7355"/>
        <item m="1" x="7473"/>
        <item m="1" x="3880"/>
        <item m="1" x="4590"/>
        <item m="1" x="4938"/>
        <item m="1" x="259"/>
        <item m="1" x="4681"/>
        <item m="1" x="2419"/>
        <item m="1" x="4915"/>
        <item m="1" x="2696"/>
        <item m="1" x="324"/>
        <item m="1" x="5027"/>
        <item m="1" x="7183"/>
        <item m="1" x="7823"/>
        <item m="1" x="4292"/>
        <item m="1" x="2021"/>
        <item m="1" x="7685"/>
        <item m="1" x="6334"/>
        <item m="1" x="4081"/>
        <item m="1" x="3530"/>
        <item m="1" x="741"/>
        <item m="1" x="6461"/>
        <item m="1" x="5194"/>
        <item m="1" x="2930"/>
        <item m="1" x="563"/>
        <item m="1" x="1193"/>
        <item m="1" x="4556"/>
        <item m="1" x="2281"/>
        <item m="1" x="7915"/>
        <item m="1" x="5085"/>
        <item m="1" x="2858"/>
        <item m="1" x="2575"/>
        <item m="1" x="209"/>
        <item m="1" x="7138"/>
        <item m="1" x="5877"/>
        <item m="1" x="4077"/>
        <item m="1" x="4619"/>
        <item m="1" x="2358"/>
        <item m="1" x="3787"/>
        <item m="1" x="7576"/>
        <item m="1" x="6265"/>
        <item m="1" x="3990"/>
        <item m="1" x="1833"/>
        <item m="1" x="7509"/>
        <item m="1" x="6200"/>
        <item m="1" x="3904"/>
        <item m="1" x="7260"/>
        <item m="1" x="5766"/>
        <item m="1" x="3524"/>
        <item m="1" x="6341"/>
        <item m="1" x="1713"/>
        <item m="1" x="4984"/>
        <item m="1" x="2772"/>
        <item m="1" x="1355"/>
        <item m="1" x="7045"/>
        <item m="1" x="5731"/>
        <item m="1" x="3493"/>
        <item m="1" x="1155"/>
        <item m="1" x="6896"/>
        <item m="1" x="5361"/>
        <item m="1" x="3106"/>
        <item m="1" x="1485"/>
        <item m="1" x="1695"/>
        <item m="1" x="7380"/>
        <item m="1" x="1602"/>
        <item m="1" x="7296"/>
        <item m="1" x="1774"/>
        <item m="1" x="7456"/>
        <item m="1" x="6159"/>
        <item m="1" x="3865"/>
        <item m="1" x="1553"/>
        <item m="1" x="6017"/>
        <item m="1" x="5939"/>
        <item m="1" x="3697"/>
        <item m="1" x="1379"/>
        <item m="1" x="7445"/>
        <item m="1" x="1562"/>
        <item m="1" x="7268"/>
        <item m="1" x="6021"/>
        <item m="1" x="3704"/>
        <item m="1" x="1386"/>
        <item m="1" x="7074"/>
        <item m="1" x="3642"/>
        <item m="1" x="1313"/>
        <item m="1" x="7013"/>
        <item m="1" x="5683"/>
        <item m="1" x="3453"/>
        <item m="1" x="1123"/>
        <item m="1" x="6850"/>
        <item m="1" x="7585"/>
        <item m="1" x="2285"/>
        <item m="1" x="7921"/>
        <item m="1" x="2566"/>
        <item m="1" x="4176"/>
        <item m="1" x="1912"/>
        <item m="1" x="7571"/>
        <item m="1" x="6259"/>
        <item m="1" x="3980"/>
        <item m="1" x="1684"/>
        <item m="1" x="1081"/>
        <item m="1" x="6793"/>
        <item m="1" x="3175"/>
        <item m="1" x="2481"/>
        <item m="1" x="5488"/>
        <item m="1" x="3245"/>
        <item m="1" x="904"/>
        <item m="1" x="6613"/>
        <item m="1" x="455"/>
        <item m="1" x="2861"/>
        <item m="1" x="497"/>
        <item m="1" x="4872"/>
        <item m="1" x="4343"/>
        <item m="1" x="2058"/>
        <item m="1" x="1534"/>
        <item m="1" x="4992"/>
        <item m="1" x="2780"/>
        <item m="1" x="6707"/>
        <item m="1" x="5787"/>
        <item m="1" x="4579"/>
        <item m="1" x="3079"/>
        <item m="1" x="709"/>
        <item m="1" x="1777"/>
        <item m="1" x="7458"/>
        <item m="1" x="6163"/>
        <item m="1" x="3870"/>
        <item m="1" x="1559"/>
        <item m="1" x="1181"/>
        <item m="1" x="7451"/>
        <item m="1" x="6156"/>
        <item m="1" x="3864"/>
        <item m="1" x="1549"/>
        <item m="1" x="7255"/>
        <item m="1" x="6009"/>
        <item m="1" x="3692"/>
        <item m="1" x="4293"/>
        <item m="1" x="5777"/>
        <item m="1" x="6249"/>
        <item m="1" x="3973"/>
        <item m="1" x="5847"/>
        <item m="1" x="3597"/>
        <item m="1" x="7568"/>
        <item m="1" x="1266"/>
        <item m="1" x="204"/>
        <item m="1" x="4543"/>
        <item m="1" x="2269"/>
        <item m="1" x="7896"/>
        <item m="1" x="4108"/>
        <item m="1" x="4728"/>
        <item m="1" x="2484"/>
        <item m="1" x="7913"/>
        <item m="1" x="3893"/>
        <item m="1" x="6175"/>
        <item m="1" x="421"/>
        <item m="1" x="2835"/>
        <item m="1" x="465"/>
        <item m="1" x="6920"/>
        <item m="1" x="5583"/>
        <item m="1" x="7627"/>
        <item m="1" x="6304"/>
        <item m="1" x="4039"/>
        <item m="1" x="620"/>
        <item m="1" x="7794"/>
        <item m="1" x="5367"/>
        <item m="1" x="7619"/>
        <item m="1" x="6293"/>
        <item m="1" x="4031"/>
        <item m="1" x="7648"/>
        <item m="1" x="4107"/>
        <item m="1" x="1823"/>
        <item m="1" x="7496"/>
        <item m="1" x="6196"/>
        <item m="1" x="3896"/>
        <item m="1" x="1594"/>
        <item m="1" x="6457"/>
        <item m="1" x="5189"/>
        <item m="1" x="4546"/>
        <item m="1" x="4578"/>
        <item m="1" x="887"/>
        <item m="1" x="6595"/>
        <item m="1" x="5307"/>
        <item m="1" x="1217"/>
        <item m="1" x="6942"/>
        <item m="1" x="7657"/>
        <item m="1" x="6320"/>
        <item m="1" x="4056"/>
        <item m="1" x="6090"/>
        <item m="1" x="3779"/>
        <item m="1" x="4910"/>
        <item m="1" x="2691"/>
        <item m="1" x="4727"/>
        <item m="1" x="5955"/>
        <item m="1" x="3648"/>
        <item m="1" x="6462"/>
        <item m="1" x="5195"/>
        <item m="1" x="1057"/>
        <item m="1" x="6763"/>
        <item m="1" x="5438"/>
        <item m="1" x="3195"/>
        <item m="1" x="834"/>
        <item m="1" x="7082"/>
        <item m="1" x="5776"/>
        <item m="1" x="5445"/>
        <item m="1" x="4618"/>
        <item m="1" x="2357"/>
        <item m="1" x="4437"/>
        <item m="1" x="1544"/>
        <item m="1" x="600"/>
        <item m="1" x="4987"/>
        <item m="1" x="2774"/>
        <item m="1" x="4442"/>
        <item m="1" x="2163"/>
        <item m="1" x="7786"/>
        <item m="1" x="4198"/>
        <item m="1" x="7518"/>
        <item m="1" x="4544"/>
        <item m="1" x="2270"/>
        <item m="1" x="7898"/>
        <item m="1" x="6829"/>
        <item m="1" x="3538"/>
        <item m="1" x="5306"/>
        <item m="1" x="3047"/>
        <item m="1" x="673"/>
        <item m="1" x="1754"/>
        <item m="1" x="7438"/>
        <item m="1" x="5696"/>
        <item m="1" x="3460"/>
        <item m="1" x="7022"/>
        <item m="1" x="4066"/>
        <item m="1" x="1414"/>
        <item m="1" x="7101"/>
        <item m="1" x="5795"/>
        <item m="1" x="3556"/>
        <item m="1" x="7914"/>
        <item m="1" x="4835"/>
        <item m="1" x="6975"/>
        <item m="1" x="7422"/>
        <item m="1" x="6136"/>
        <item m="1" x="6483"/>
        <item m="1" x="6262"/>
        <item m="1" x="275"/>
        <item m="1" x="7767"/>
        <item m="1" x="444"/>
        <item m="1" x="2723"/>
        <item m="1" x="1862"/>
        <item m="1" x="6203"/>
        <item m="1" x="3914"/>
        <item m="1" x="1462"/>
        <item m="1" x="2140"/>
        <item m="1" x="7772"/>
        <item m="1" x="5639"/>
        <item m="1" x="3391"/>
        <item m="1" x="1080"/>
        <item m="1" x="6792"/>
        <item m="1" x="399"/>
        <item m="1" x="7625"/>
        <item m="1" x="6299"/>
        <item m="1" x="4034"/>
        <item m="1" x="1408"/>
        <item m="1" x="7095"/>
        <item m="1" x="4481"/>
        <item m="1" x="2198"/>
        <item m="1" x="7820"/>
        <item m="1" x="4238"/>
        <item m="1" x="1960"/>
        <item m="1" x="4133"/>
        <item m="1" x="1868"/>
        <item m="1" x="7541"/>
        <item m="1" x="6225"/>
        <item m="1" x="3937"/>
        <item m="1" x="1634"/>
        <item m="1" x="7326"/>
        <item m="1" x="7936"/>
        <item m="1" x="4386"/>
        <item m="1" x="2097"/>
        <item m="1" x="7746"/>
        <item m="1" x="4147"/>
        <item m="1" x="1883"/>
        <item m="1" x="7549"/>
        <item m="1" x="2525"/>
        <item m="1" x="152"/>
        <item m="1" x="7903"/>
        <item m="1" x="6941"/>
        <item m="1" x="3921"/>
        <item m="1" x="1722"/>
        <item m="1" x="7404"/>
        <item m="1" x="6121"/>
        <item m="1" x="3816"/>
        <item m="1" x="7079"/>
        <item m="1" x="5771"/>
        <item m="1" x="3531"/>
        <item m="1" x="1198"/>
        <item m="1" x="6934"/>
        <item m="1" x="6737"/>
        <item m="1" x="1581"/>
        <item m="1" x="7281"/>
        <item m="1" x="7545"/>
        <item m="1" x="4973"/>
        <item m="1" x="3793"/>
        <item m="1" x="1492"/>
        <item m="1" x="7176"/>
        <item m="1" x="7144"/>
        <item m="1" x="5889"/>
        <item m="1" x="4361"/>
        <item m="1" x="7672"/>
        <item m="1" x="4501"/>
        <item m="1" x="2214"/>
        <item m="1" x="5038"/>
        <item m="1" x="192"/>
        <item m="1" x="3182"/>
        <item m="1" x="3600"/>
        <item m="1" x="4884"/>
        <item m="1" x="816"/>
        <item m="1" x="6542"/>
        <item m="1" x="1637"/>
        <item m="1" x="7334"/>
        <item m="1" x="4905"/>
        <item m="1" x="4365"/>
        <item m="1" x="6593"/>
        <item m="1" x="5305"/>
        <item m="1" x="5594"/>
        <item m="1" x="6837"/>
        <item m="1" x="5180"/>
        <item m="1" x="3950"/>
        <item m="1" x="3223"/>
        <item m="1" x="4935"/>
        <item m="1" x="4123"/>
        <item m="1" x="7312"/>
        <item m="1" x="4609"/>
        <item m="1" x="693"/>
        <item m="1" x="6130"/>
        <item m="1" x="6166"/>
        <item m="1" x="4595"/>
        <item m="1" x="7880"/>
        <item m="1" x="6746"/>
        <item m="1" x="4655"/>
        <item m="1" x="6984"/>
        <item m="1" x="6336"/>
        <item m="1" x="5641"/>
        <item m="1" x="1916"/>
        <item m="1" x="7574"/>
        <item m="1" x="4572"/>
        <item m="1" x="6865"/>
        <item m="1" x="7246"/>
        <item m="1" x="7448"/>
        <item m="1" x="4547"/>
        <item m="1" x="2275"/>
        <item m="1" x="7910"/>
        <item m="1" x="6597"/>
        <item m="1" x="5310"/>
        <item m="1" x="3049"/>
        <item m="1" x="676"/>
        <item m="1" x="5099"/>
        <item m="1" x="7189"/>
        <item m="1" x="5827"/>
        <item m="1" x="3584"/>
        <item m="1" x="6005"/>
        <item m="1" x="5710"/>
        <item m="1" x="4529"/>
        <item m="1" x="4535"/>
        <item m="1" x="1332"/>
        <item m="1" x="1505"/>
        <item m="1" x="6825"/>
        <item m="1" x="5482"/>
        <item m="1" x="3238"/>
        <item m="1" x="896"/>
        <item m="1" x="2951"/>
        <item m="1" x="579"/>
        <item m="1" x="1314"/>
        <item m="1" x="5132"/>
        <item m="1" x="2890"/>
        <item m="1" x="521"/>
        <item m="1" x="4897"/>
        <item m="1" x="3225"/>
        <item m="1" x="883"/>
        <item m="1" x="2907"/>
        <item m="1" x="542"/>
        <item m="1" x="4918"/>
        <item m="1" x="2702"/>
        <item m="1" x="1360"/>
        <item m="1" x="7855"/>
        <item m="1" x="7834"/>
        <item m="1" x="4262"/>
        <item m="1" x="7864"/>
        <item m="1" x="4651"/>
        <item m="1" x="2897"/>
        <item m="1" x="530"/>
        <item m="1" x="3673"/>
        <item m="1" x="4489"/>
        <item m="1" x="4753"/>
        <item m="1" x="4581"/>
        <item m="1" x="2304"/>
        <item m="1" x="1322"/>
        <item m="1" x="5340"/>
        <item m="1" x="7265"/>
        <item m="1" x="2208"/>
        <item m="1" x="6314"/>
        <item m="1" x="2519"/>
        <item m="1" x="140"/>
        <item m="1" x="7024"/>
        <item m="1" x="7656"/>
        <item m="1" x="677"/>
        <item m="1" x="4531"/>
        <item m="1" x="40"/>
        <item m="1" x="1923"/>
        <item m="1" x="7580"/>
        <item m="1" x="6267"/>
        <item m="1" x="4000"/>
        <item m="1" x="1700"/>
        <item m="1" x="7385"/>
        <item m="1" x="4446"/>
        <item m="1" x="2167"/>
        <item m="1" x="7878"/>
        <item m="1" x="3318"/>
        <item m="1" x="1132"/>
        <item m="1" x="4891"/>
        <item m="1" x="700"/>
        <item m="1" x="7093"/>
        <item m="1" x="5112"/>
        <item m="1" x="2878"/>
        <item m="1" x="510"/>
        <item m="1" x="7309"/>
        <item m="1" x="3749"/>
        <item m="1" x="1434"/>
        <item m="1" x="4267"/>
        <item m="1" x="6773"/>
        <item m="1" x="7420"/>
        <item m="1" x="6229"/>
        <item m="1" x="3944"/>
        <item m="1" x="5562"/>
        <item m="1" x="669"/>
        <item m="1" x="7873"/>
        <item m="1" x="3585"/>
        <item m="1" x="1239"/>
        <item m="1" x="6956"/>
        <item m="1" x="5619"/>
        <item m="1" x="2195"/>
        <item m="1" x="7818"/>
        <item m="1" x="4233"/>
        <item m="1" x="1959"/>
        <item m="1" x="7626"/>
        <item m="1" x="6302"/>
        <item m="1" x="4036"/>
        <item m="1" x="1738"/>
        <item m="1" x="3219"/>
        <item m="1" x="5567"/>
        <item m="1" x="1000"/>
        <item m="1" x="6861"/>
        <item m="1" x="3484"/>
        <item m="1" x="1146"/>
        <item m="1" x="6880"/>
        <item m="1" x="5542"/>
        <item m="1" x="3300"/>
        <item m="1" x="970"/>
        <item m="1" x="6673"/>
        <item m="1" x="7233"/>
        <item m="1" x="5987"/>
        <item m="1" x="3671"/>
        <item m="1" x="5733"/>
        <item m="1" x="7310"/>
        <item m="1" x="6059"/>
        <item m="1" x="3251"/>
        <item m="1" x="7791"/>
        <item m="1" x="1357"/>
        <item m="1" x="7047"/>
        <item m="1" x="3750"/>
        <item m="1" x="4789"/>
        <item m="1" x="2552"/>
        <item m="1" x="1075"/>
        <item m="1" x="6787"/>
        <item m="1" x="686"/>
        <item m="1" x="3385"/>
        <item m="1" x="1762"/>
        <item m="1" x="2490"/>
        <item m="1" x="1319"/>
        <item m="1" x="7768"/>
        <item m="1" x="785"/>
        <item m="1" x="6511"/>
        <item m="1" x="6210"/>
        <item m="1" x="4686"/>
        <item m="1" x="7532"/>
        <item m="1" x="868"/>
        <item m="1" x="4861"/>
        <item m="1" x="4838"/>
        <item m="1" x="2599"/>
        <item m="1" x="233"/>
        <item m="1" x="4658"/>
        <item m="1" x="2404"/>
        <item m="1" x="461"/>
        <item m="1" x="788"/>
        <item m="1" x="6512"/>
        <item m="1" x="5240"/>
        <item m="1" x="2766"/>
        <item m="1" x="4508"/>
        <item m="1" x="7843"/>
        <item m="1" x="4510"/>
        <item m="1" x="5886"/>
        <item m="1" x="3623"/>
        <item m="1" x="2969"/>
        <item m="1" x="594"/>
        <item m="1" x="2762"/>
        <item m="1" x="390"/>
        <item m="1" x="6724"/>
        <item m="1" x="5407"/>
        <item m="1" x="7612"/>
        <item m="1" x="6289"/>
        <item m="1" x="7410"/>
        <item m="1" x="2612"/>
        <item m="1" x="247"/>
        <item m="1" x="1729"/>
        <item m="1" x="1918"/>
        <item m="1" x="3693"/>
        <item m="1" x="1326"/>
        <item m="1" x="2743"/>
        <item m="1" x="1208"/>
        <item m="1" x="1282"/>
        <item m="1" x="6986"/>
        <item m="1" x="3866"/>
        <item m="1" x="1555"/>
        <item m="1" x="6018"/>
        <item m="1" x="3700"/>
        <item m="1" x="1382"/>
        <item m="1" x="7072"/>
        <item m="1" x="3516"/>
        <item m="1" x="6338"/>
        <item m="1" x="7278"/>
        <item m="1" x="6036"/>
        <item m="1" x="3719"/>
        <item m="1" x="363"/>
        <item m="1" x="3771"/>
        <item m="1" x="1458"/>
        <item m="1" x="4636"/>
        <item m="1" x="5012"/>
        <item m="1" x="7609"/>
        <item m="1" x="2677"/>
        <item m="1" x="306"/>
        <item m="1" x="2628"/>
        <item m="1" x="2061"/>
        <item m="1" x="7722"/>
        <item m="1" x="2079"/>
        <item m="1" x="3402"/>
        <item m="1" x="1792"/>
        <item m="1" x="5496"/>
        <item m="1" x="3257"/>
        <item m="1" x="912"/>
        <item m="1" x="6620"/>
        <item m="1" x="3305"/>
        <item m="1" x="972"/>
        <item m="1" x="6674"/>
        <item m="1" x="5369"/>
        <item m="1" x="3119"/>
        <item m="1" x="750"/>
        <item m="1" x="7663"/>
        <item m="1" x="6322"/>
        <item m="1" x="7263"/>
        <item m="1" x="5761"/>
        <item m="1" x="1397"/>
        <item m="1" x="2306"/>
        <item m="1" x="1487"/>
        <item m="1" x="7170"/>
        <item m="1" x="5916"/>
        <item m="1" x="1603"/>
        <item m="1" x="7297"/>
        <item m="1" x="5799"/>
        <item m="1" x="3561"/>
        <item m="1" x="1236"/>
        <item m="1" x="4120"/>
        <item m="1" x="1616"/>
        <item m="1" x="7304"/>
        <item m="1" x="6054"/>
        <item m="1" x="3747"/>
        <item m="1" x="1430"/>
        <item m="1" x="4129"/>
        <item m="1" x="5419"/>
        <item m="1" x="806"/>
        <item m="1" x="5303"/>
        <item m="1" x="5321"/>
        <item m="1" x="3061"/>
        <item m="1" x="135"/>
        <item m="1" x="5302"/>
        <item m="1" x="7256"/>
        <item m="1" x="6010"/>
        <item m="1" x="6685"/>
        <item m="1" x="4936"/>
        <item m="1" x="5490"/>
        <item m="1" x="3250"/>
        <item m="1" x="2724"/>
        <item m="1" x="5315"/>
        <item m="1" x="1635"/>
        <item m="1" x="7327"/>
        <item m="1" x="6582"/>
        <item m="1" x="5296"/>
        <item m="1" x="5304"/>
        <item m="1" x="3046"/>
        <item m="1" x="671"/>
        <item m="1" x="5726"/>
        <item m="1" x="3488"/>
        <item m="1" x="1151"/>
        <item m="1" x="6889"/>
        <item m="1" x="5705"/>
        <item m="1" x="1309"/>
        <item m="1" x="4588"/>
        <item m="1" x="2316"/>
        <item m="1" x="7954"/>
        <item m="1" x="6925"/>
        <item m="1" x="2345"/>
        <item m="1" x="2323"/>
        <item m="1" x="5735"/>
        <item m="1" x="5366"/>
        <item m="1" x="2594"/>
        <item m="1" x="4925"/>
        <item m="1" x="2567"/>
        <item m="1" x="201"/>
        <item m="1" x="5785"/>
        <item m="1" x="2187"/>
        <item m="1" x="4145"/>
        <item m="1" x="5603"/>
        <item m="1" x="3353"/>
        <item m="1" x="3437"/>
        <item m="1" x="1114"/>
        <item m="1" x="6838"/>
        <item m="1" x="942"/>
        <item m="1" x="6647"/>
        <item m="1" x="5353"/>
        <item m="1" x="3096"/>
        <item m="1" x="1767"/>
        <item m="1" x="6253"/>
        <item m="1" x="1317"/>
        <item m="1" x="7018"/>
        <item m="1" x="5692"/>
        <item m="1" x="3457"/>
        <item m="1" x="505"/>
        <item m="1" x="7073"/>
        <item m="1" x="5762"/>
        <item m="1" x="3517"/>
        <item m="1" x="753"/>
        <item m="1" x="6472"/>
        <item m="1" x="5204"/>
        <item m="1" x="4722"/>
        <item m="1" x="3931"/>
        <item m="1" x="2069"/>
        <item m="1" x="4430"/>
        <item m="1" x="532"/>
        <item m="1" x="4906"/>
        <item m="1" x="2688"/>
        <item m="1" x="317"/>
        <item m="1" x="6272"/>
        <item m="1" x="4004"/>
        <item m="1" x="4131"/>
        <item m="1" x="5446"/>
        <item m="1" x="2156"/>
        <item m="1" x="5927"/>
        <item m="1" x="6696"/>
        <item m="1" x="7054"/>
        <item m="1" x="4172"/>
        <item m="1" x="181"/>
        <item m="1" x="4852"/>
        <item m="1" x="1230"/>
        <item m="1" x="6950"/>
        <item m="1" x="5613"/>
        <item m="1" x="3368"/>
        <item m="1" x="4724"/>
        <item m="1" x="2480"/>
        <item m="1" x="2277"/>
        <item m="1" x="225"/>
        <item m="1" x="4653"/>
        <item m="1" x="2396"/>
        <item m="1" x="33"/>
        <item m="1" x="4479"/>
        <item m="1" x="2812"/>
        <item m="1" x="449"/>
        <item m="1" x="4847"/>
        <item m="1" x="2608"/>
        <item m="1" x="2568"/>
        <item m="1" x="202"/>
        <item m="1" x="4631"/>
        <item m="1" x="7714"/>
        <item m="1" x="4098"/>
        <item m="1" x="1813"/>
        <item m="1" x="7488"/>
        <item m="1" x="6194"/>
        <item m="1" x="7000"/>
        <item m="1" x="5664"/>
        <item m="1" x="4570"/>
        <item m="1" x="1450"/>
        <item m="1" x="7132"/>
        <item m="1" x="5865"/>
        <item m="1" x="3611"/>
        <item m="1" x="3442"/>
        <item m="1" x="4463"/>
        <item m="1" x="7751"/>
        <item m="1" x="4157"/>
        <item m="1" x="5805"/>
        <item m="1" x="174"/>
        <item m="1" x="6149"/>
        <item m="1" x="3850"/>
        <item m="1" x="1533"/>
        <item m="1" x="7235"/>
        <item m="1" x="5991"/>
        <item m="1" x="3675"/>
        <item m="1" x="1183"/>
        <item m="1" x="6914"/>
        <item m="1" x="2880"/>
        <item m="1" x="511"/>
        <item m="1" x="6893"/>
        <item m="1" x="4784"/>
        <item m="1" x="2278"/>
        <item m="1" x="939"/>
        <item m="1" x="6645"/>
        <item m="1" x="5351"/>
        <item m="1" x="3094"/>
        <item m="1" x="723"/>
        <item m="1" x="5168"/>
        <item m="1" x="4630"/>
        <item m="1" x="1287"/>
        <item m="1" x="5480"/>
        <item m="1" x="3234"/>
        <item m="1" x="891"/>
        <item m="1" x="3633"/>
        <item m="1" x="2581"/>
        <item m="1" x="214"/>
        <item m="1" x="4646"/>
        <item m="1" x="2387"/>
        <item m="1" x="25"/>
        <item m="1" x="1031"/>
        <item m="1" x="6740"/>
        <item m="1" x="3909"/>
        <item m="1" x="1609"/>
        <item m="1" x="7300"/>
        <item m="1" x="3566"/>
        <item m="1" x="496"/>
        <item m="1" x="4616"/>
        <item m="1" x="2154"/>
        <item m="1" x="2464"/>
        <item m="1" x="94"/>
        <item m="1" x="4542"/>
        <item m="1" x="2268"/>
        <item m="1" x="4907"/>
        <item m="1" x="2689"/>
        <item m="1" x="318"/>
        <item m="1" x="4808"/>
        <item m="1" x="7997"/>
        <item m="1" x="4444"/>
        <item m="1" x="1621"/>
        <item m="1" x="7372"/>
        <item m="1" x="4263"/>
        <item m="1" x="2367"/>
        <item m="1" x="4106"/>
        <item m="1" x="5904"/>
        <item m="1" x="4802"/>
        <item m="1" x="6969"/>
        <item m="1" x="7740"/>
        <item m="1" x="3678"/>
        <item m="1" x="4700"/>
        <item m="1" x="2449"/>
        <item m="1" x="83"/>
        <item m="1" x="7147"/>
        <item m="1" x="5892"/>
        <item m="1" x="1291"/>
        <item m="1" x="6992"/>
        <item m="1" x="554"/>
        <item m="1" x="1162"/>
        <item m="1" x="6902"/>
        <item m="1" x="1176"/>
        <item m="1" x="4037"/>
        <item m="1" x="4051"/>
        <item m="1" x="2539"/>
        <item m="1" x="167"/>
        <item m="1" x="4601"/>
        <item m="1" x="2334"/>
        <item m="1" x="7967"/>
        <item m="1" x="2507"/>
        <item m="1" x="1512"/>
        <item m="1" x="7207"/>
        <item m="1" x="5957"/>
        <item m="1" x="3653"/>
        <item m="1" x="2070"/>
        <item m="1" x="2322"/>
        <item m="1" x="7959"/>
        <item m="1" x="4416"/>
        <item m="1" x="3626"/>
        <item m="1" x="6909"/>
        <item m="1" x="1739"/>
        <item m="1" x="7423"/>
        <item m="1" x="1757"/>
        <item m="1" x="7441"/>
        <item m="1" x="125"/>
        <item m="1" x="2121"/>
        <item m="1" x="3814"/>
        <item m="1" x="5215"/>
        <item m="1" x="2825"/>
        <item m="1" x="462"/>
        <item m="1" x="2613"/>
        <item m="1" x="248"/>
        <item m="1" x="4668"/>
        <item m="1" x="3027"/>
        <item m="1" x="653"/>
        <item m="1" x="1564"/>
        <item m="1" x="842"/>
        <item m="1" x="7912"/>
        <item m="1" x="2318"/>
        <item m="1" x="2952"/>
        <item m="1" x="2542"/>
        <item m="1" x="1250"/>
        <item m="1" x="6778"/>
        <item m="1" x="6064"/>
        <item m="1" x="7124"/>
        <item m="1" x="5839"/>
        <item m="1" x="3591"/>
        <item m="1" x="7526"/>
        <item m="1" x="6215"/>
        <item m="1" x="6765"/>
        <item m="1" x="2864"/>
        <item m="1" x="2433"/>
        <item m="1" x="1316"/>
        <item m="1" x="7616"/>
        <item m="1" x="5506"/>
        <item m="1" x="3264"/>
        <item m="1" x="3581"/>
        <item m="1" x="4688"/>
        <item m="1" x="5993"/>
        <item m="1" x="4605"/>
        <item m="1" x="4866"/>
        <item m="1" x="768"/>
        <item m="1" x="3510"/>
        <item m="1" x="4799"/>
        <item m="1" x="3013"/>
        <item m="1" x="6522"/>
        <item m="1" x="6488"/>
        <item m="1" x="4959"/>
        <item m="1" x="2754"/>
        <item m="1" x="375"/>
        <item m="1" x="3259"/>
        <item m="1" x="917"/>
        <item m="1" x="6623"/>
        <item m="1" x="5333"/>
        <item m="1" x="3073"/>
        <item m="1" x="7017"/>
        <item m="1" x="3456"/>
        <item m="1" x="1127"/>
        <item m="1" x="6854"/>
        <item m="1" x="5509"/>
        <item m="1" x="7087"/>
        <item m="1" x="5781"/>
        <item m="1" x="3541"/>
        <item m="1" x="1211"/>
        <item m="1" x="6940"/>
        <item m="1" x="5596"/>
        <item m="1" x="3895"/>
        <item m="1" x="1593"/>
        <item m="1" x="7288"/>
        <item m="1" x="6040"/>
        <item m="1" x="3727"/>
        <item m="1" x="1410"/>
        <item m="1" x="7097"/>
        <item m="1" x="5789"/>
        <item m="1" x="7726"/>
        <item m="1" x="4115"/>
        <item m="1" x="1838"/>
        <item m="1" x="5115"/>
        <item m="1" x="2881"/>
        <item m="1" x="512"/>
        <item m="1" x="4719"/>
        <item m="1" x="2475"/>
        <item m="1" x="101"/>
        <item m="1" x="539"/>
        <item m="1" x="4916"/>
        <item m="1" x="4952"/>
        <item m="1" x="5013"/>
        <item m="1" x="4536"/>
        <item m="1" x="4324"/>
        <item m="1" x="2051"/>
        <item m="1" x="7715"/>
        <item m="1" x="4100"/>
        <item m="1" x="1592"/>
        <item m="1" x="4549"/>
        <item m="1" x="2276"/>
        <item m="1" x="4270"/>
        <item m="1" x="1036"/>
        <item m="1" x="6474"/>
        <item m="1" x="5207"/>
        <item m="1" x="2945"/>
        <item m="1" x="573"/>
        <item m="1" x="4205"/>
        <item m="1" x="1933"/>
        <item m="1" x="7594"/>
        <item m="1" x="4257"/>
        <item m="1" x="6468"/>
        <item m="1" x="5201"/>
        <item m="1" x="54"/>
        <item m="1" x="5233"/>
        <item m="1" x="7870"/>
        <item m="1" x="4300"/>
        <item m="1" x="2027"/>
        <item m="1" x="4412"/>
        <item m="1" x="499"/>
        <item m="1" x="4725"/>
        <item m="1" x="2483"/>
        <item m="1" x="103"/>
        <item m="1" x="4351"/>
        <item m="1" x="4922"/>
        <item m="1" x="2494"/>
        <item m="1" x="113"/>
        <item m="1" x="4563"/>
        <item m="1" x="46"/>
        <item m="1" x="4498"/>
        <item m="1" x="6973"/>
        <item m="1" x="5636"/>
        <item m="1" x="3387"/>
        <item m="1" x="1077"/>
        <item m="1" x="6788"/>
        <item m="1" x="5459"/>
        <item m="1" x="3215"/>
        <item m="1" x="3761"/>
        <item m="1" x="36"/>
        <item m="1" x="4483"/>
        <item m="1" x="2201"/>
        <item m="1" x="7821"/>
        <item m="1" x="1961"/>
        <item m="1" x="7628"/>
        <item m="1" x="3756"/>
        <item m="1" x="1438"/>
        <item m="1" x="7121"/>
        <item m="1" x="7871"/>
        <item m="1" x="6127"/>
        <item m="1" x="3823"/>
        <item m="1" x="3659"/>
        <item m="1" x="1334"/>
        <item m="1" x="7035"/>
        <item m="1" x="1117"/>
        <item m="1" x="5788"/>
        <item m="1" x="200"/>
        <item m="1" x="3428"/>
        <item m="1" x="1110"/>
        <item m="1" x="4396"/>
        <item m="1" x="5208"/>
        <item m="1" x="2946"/>
        <item m="1" x="3134"/>
        <item m="1" x="6481"/>
        <item m="1" x="3143"/>
        <item m="1" x="5229"/>
        <item m="1" x="2963"/>
        <item m="1" x="588"/>
        <item m="1" x="2547"/>
        <item m="1" x="175"/>
        <item m="1" x="2977"/>
        <item m="1" x="3176"/>
        <item m="1" x="6945"/>
        <item m="1" x="5604"/>
        <item m="1" x="3355"/>
        <item m="1" x="7475"/>
        <item m="1" x="3588"/>
        <item m="1" x="1259"/>
        <item m="1" x="5985"/>
        <item m="1" x="5169"/>
        <item m="1" x="4376"/>
        <item m="1" x="3612"/>
        <item m="1" x="2867"/>
        <item m="1" x="501"/>
        <item m="1" x="2305"/>
        <item m="1" x="1227"/>
        <item m="1" x="2889"/>
        <item m="1" x="520"/>
        <item m="1" x="4716"/>
        <item m="1" x="2466"/>
        <item m="1" x="5336"/>
        <item m="1" x="4690"/>
        <item m="1" x="4522"/>
        <item m="1" x="2239"/>
        <item m="1" x="7141"/>
        <item m="1" x="5880"/>
        <item m="1" x="3618"/>
        <item m="1" x="1286"/>
        <item m="1" x="6987"/>
        <item m="1" x="5651"/>
        <item m="1" x="3411"/>
        <item m="1" x="1103"/>
        <item m="1" x="6820"/>
        <item m="1" x="1674"/>
        <item m="1" x="4241"/>
        <item m="1" x="6679"/>
        <item m="1" x="5371"/>
        <item m="1" x="3122"/>
        <item m="1" x="568"/>
        <item m="1" x="1161"/>
        <item m="1" x="6901"/>
        <item m="1" x="2616"/>
        <item m="1" x="249"/>
        <item m="1" x="1779"/>
        <item m="1" x="7460"/>
        <item m="1" x="1778"/>
        <item m="1" x="409"/>
        <item m="1" x="7284"/>
        <item m="1" x="6038"/>
        <item m="1" x="5674"/>
        <item m="1" x="2751"/>
        <item m="1" x="3209"/>
        <item m="1" x="6688"/>
        <item m="1" x="3132"/>
        <item m="1" x="6478"/>
        <item m="1" x="161"/>
        <item m="1" x="2327"/>
        <item m="1" x="7394"/>
        <item m="1" x="6107"/>
        <item m="1" x="3802"/>
        <item m="1" x="1504"/>
        <item m="1" x="4877"/>
        <item m="1" x="2639"/>
        <item m="1" x="276"/>
        <item m="1" x="4908"/>
        <item m="1" x="2561"/>
        <item m="1" x="194"/>
        <item m="1" x="32"/>
        <item m="1" x="4478"/>
        <item m="1" x="7817"/>
        <item m="1" x="2606"/>
        <item m="1" x="238"/>
        <item m="1" x="245"/>
        <item m="1" x="4666"/>
        <item m="1" x="2409"/>
        <item m="1" x="47"/>
        <item m="1" x="4499"/>
        <item m="1" x="2843"/>
        <item m="1" x="4924"/>
        <item m="1" x="2446"/>
        <item m="1" x="5122"/>
        <item m="1" x="2151"/>
        <item m="1" x="6255"/>
        <item m="1" x="3976"/>
        <item m="1" x="1483"/>
        <item m="1" x="6590"/>
        <item m="1" x="5084"/>
        <item m="1" x="2857"/>
        <item m="1" x="493"/>
        <item m="1" x="2463"/>
        <item m="1" x="2806"/>
        <item m="1" x="440"/>
        <item m="1" x="4839"/>
        <item m="1" x="2600"/>
        <item m="1" x="373"/>
        <item m="1" x="4889"/>
        <item m="1" x="2659"/>
        <item m="1" x="297"/>
        <item m="1" x="7941"/>
        <item m="1" x="3451"/>
        <item m="1" x="1122"/>
        <item m="1" x="6849"/>
        <item m="1" x="5502"/>
        <item m="1" x="2155"/>
        <item m="1" x="6546"/>
        <item m="1" x="3263"/>
        <item m="1" x="7779"/>
        <item m="1" x="3535"/>
        <item m="1" x="4389"/>
        <item m="1" x="2099"/>
        <item m="1" x="2495"/>
        <item m="1" x="114"/>
        <item m="1" x="3527"/>
        <item m="1" x="1191"/>
        <item m="1" x="6927"/>
        <item m="1" x="5585"/>
        <item m="1" x="3336"/>
        <item m="1" x="1023"/>
        <item m="1" x="6728"/>
        <item m="1" x="5410"/>
        <item m="1" x="6033"/>
        <item m="1" x="3716"/>
        <item m="1" x="1394"/>
        <item m="1" x="1797"/>
        <item m="1" x="4557"/>
        <item m="1" x="7917"/>
        <item m="1" x="4362"/>
        <item m="1" x="2071"/>
        <item m="1" x="7734"/>
        <item m="1" x="7881"/>
        <item m="1" x="4318"/>
        <item m="1" x="2041"/>
        <item m="1" x="7706"/>
        <item m="1" x="4094"/>
        <item m="1" x="1805"/>
        <item m="1" x="7586"/>
        <item m="1" x="7472"/>
        <item m="1" x="2282"/>
        <item m="1" x="2468"/>
        <item m="1" x="1548"/>
        <item m="1" x="6007"/>
        <item m="1" x="2500"/>
        <item m="1" x="3879"/>
        <item m="1" x="1573"/>
        <item m="1" x="3342"/>
        <item m="1" x="1030"/>
        <item m="1" x="6738"/>
        <item m="1" x="7401"/>
        <item m="1" x="6116"/>
        <item m="1" x="3809"/>
        <item m="1" x="1509"/>
        <item m="1" x="1714"/>
        <item m="1" x="1711"/>
        <item m="1" x="5348"/>
        <item m="1" x="3091"/>
        <item m="1" x="6323"/>
        <item m="1" x="1409"/>
        <item m="1" x="7096"/>
        <item m="1" x="7112"/>
        <item m="1" x="5811"/>
        <item m="1" x="3574"/>
        <item m="1" x="1243"/>
        <item m="1" x="6962"/>
        <item m="1" x="5625"/>
        <item m="1" x="1067"/>
        <item m="1" x="4894"/>
        <item m="1" x="2666"/>
        <item m="1" x="141"/>
        <item m="1" x="6491"/>
        <item m="1" x="5222"/>
        <item m="1" x="4899"/>
        <item m="1" x="4568"/>
        <item m="1" x="7929"/>
        <item m="1" x="3526"/>
        <item m="1" x="1190"/>
        <item m="1" x="2818"/>
        <item m="1" x="452"/>
        <item m="1" x="2829"/>
        <item m="1" x="2845"/>
        <item m="1" x="3159"/>
        <item m="1" x="4421"/>
        <item m="1" x="2126"/>
        <item m="1" x="7763"/>
        <item m="1" x="4173"/>
        <item m="1" x="694"/>
        <item m="1" x="3808"/>
        <item m="1" x="2001"/>
        <item m="1" x="7670"/>
        <item m="1" x="5618"/>
        <item m="1" x="6755"/>
        <item m="1" x="5142"/>
        <item m="1" x="6311"/>
        <item m="1" x="5600"/>
        <item m="1" x="3349"/>
        <item m="1" x="7399"/>
        <item m="1" x="6111"/>
        <item m="1" x="7202"/>
        <item m="1" x="6324"/>
        <item m="1" x="4878"/>
        <item m="1" x="1748"/>
        <item m="1" x="7436"/>
        <item m="1" x="1158"/>
        <item m="1" x="7347"/>
        <item m="1" x="6075"/>
        <item m="1" x="6190"/>
        <item m="1" x="7736"/>
        <item m="1" x="6899"/>
        <item m="1" x="4423"/>
        <item m="1" x="7517"/>
        <item m="1" x="5330"/>
        <item m="1" x="2673"/>
        <item m="1" x="6926"/>
        <item m="1" x="1919"/>
        <item m="1" x="7577"/>
        <item m="1" x="474"/>
        <item m="1" x="1653"/>
        <item m="1" x="77"/>
        <item m="1" x="7055"/>
        <item m="1" x="5743"/>
        <item m="1" x="3372"/>
        <item m="1" x="7562"/>
        <item m="1" x="6243"/>
        <item m="1" x="2752"/>
        <item m="1" x="5337"/>
        <item m="1" x="4677"/>
        <item m="1" x="422"/>
        <item m="1" x="817"/>
        <item m="1" x="3916"/>
        <item m="1" x="279"/>
        <item m="1" x="1012"/>
        <item m="1" x="4225"/>
        <item m="1" x="2640"/>
        <item m="1" x="2703"/>
        <item m="1" x="327"/>
        <item m="1" x="4733"/>
        <item m="1" x="2491"/>
        <item m="1" x="108"/>
        <item m="1" x="6599"/>
        <item m="1" x="5314"/>
        <item m="1" x="5349"/>
        <item m="1" x="2516"/>
        <item m="1" x="136"/>
        <item m="1" x="4576"/>
        <item m="1" x="2299"/>
        <item m="1" x="7939"/>
        <item m="1" x="7153"/>
        <item m="1" x="3731"/>
        <item m="1" x="1412"/>
        <item m="1" x="7099"/>
        <item m="1" x="5793"/>
        <item m="1" x="3552"/>
        <item m="1" x="1223"/>
        <item m="1" x="4569"/>
        <item m="1" x="2290"/>
        <item m="1" x="7930"/>
        <item m="1" x="3691"/>
        <item m="1" x="3244"/>
        <item m="1" x="5267"/>
        <item m="1" x="2998"/>
        <item m="1" x="622"/>
        <item m="1" x="5018"/>
        <item m="1" x="2799"/>
        <item m="1" x="4715"/>
        <item m="1" x="2465"/>
        <item m="1" x="95"/>
        <item m="1" x="2359"/>
        <item m="1" x="7990"/>
        <item m="1" x="4438"/>
        <item m="1" x="2158"/>
        <item m="1" x="3726"/>
        <item m="1" x="7916"/>
        <item m="1" x="4357"/>
        <item m="1" x="5747"/>
        <item m="1" x="6725"/>
        <item m="1" x="3732"/>
        <item m="1" x="1413"/>
        <item m="1" x="7100"/>
        <item m="1" x="5794"/>
        <item m="1" x="3553"/>
        <item m="1" x="6541"/>
        <item m="1" x="5192"/>
        <item m="1" x="2929"/>
        <item m="1" x="5515"/>
        <item m="1" x="3272"/>
        <item m="1" x="2230"/>
        <item m="1" x="515"/>
        <item m="1" x="6315"/>
        <item m="1" x="4052"/>
        <item m="1" x="1758"/>
        <item m="1" x="7212"/>
        <item m="1" x="4059"/>
        <item m="1" x="1765"/>
        <item m="1" x="7446"/>
        <item m="1" x="6151"/>
        <item m="1" x="3855"/>
        <item m="1" x="1538"/>
        <item m="1" x="7249"/>
        <item m="1" x="5997"/>
        <item m="1" x="3680"/>
        <item m="1" x="6933"/>
        <item m="1" x="5590"/>
        <item m="1" x="3341"/>
        <item m="1" x="1028"/>
        <item m="1" x="4192"/>
        <item m="1" x="1306"/>
        <item m="1" x="7004"/>
        <item m="1" x="6331"/>
        <item m="1" x="4078"/>
        <item m="1" x="1780"/>
        <item m="1" x="5956"/>
        <item m="1" x="5739"/>
        <item m="1" x="3497"/>
        <item m="1" x="1163"/>
        <item m="1" x="4121"/>
        <item m="1" x="1858"/>
        <item m="1" x="7523"/>
        <item m="1" x="104"/>
        <item m="1" x="4683"/>
        <item m="1" x="2423"/>
        <item m="1" x="62"/>
        <item m="1" x="4516"/>
        <item m="1" x="7264"/>
        <item m="1" x="5763"/>
        <item m="1" x="3519"/>
        <item m="1" x="1187"/>
        <item m="1" x="5960"/>
        <item m="1" x="3654"/>
        <item m="1" x="5212"/>
        <item m="1" x="2949"/>
        <item m="1" x="370"/>
        <item m="1" x="4480"/>
        <item m="1" x="2196"/>
        <item m="1" x="7819"/>
        <item m="1" x="4234"/>
        <item m="1" x="1124"/>
        <item m="1" x="713"/>
        <item m="1" x="3649"/>
        <item m="1" x="1323"/>
        <item m="1" x="7025"/>
        <item m="1" x="1411"/>
        <item m="1" x="7098"/>
        <item m="1" x="5791"/>
        <item m="1" x="4387"/>
        <item m="1" x="5197"/>
        <item m="1" x="2936"/>
        <item m="1" x="2898"/>
        <item m="1" x="2034"/>
        <item m="1" x="3683"/>
        <item m="1" x="1368"/>
        <item m="1" x="7061"/>
        <item m="1" x="3286"/>
        <item m="1" x="954"/>
        <item m="1" x="6656"/>
        <item m="1" x="2521"/>
        <item m="1" x="5806"/>
        <item m="1" x="3567"/>
        <item m="1" x="7339"/>
        <item m="1" x="4633"/>
        <item m="1" x="2377"/>
        <item m="1" x="558"/>
        <item m="1" x="3522"/>
        <item m="1" x="2240"/>
        <item m="1" x="7122"/>
        <item m="1" x="7596"/>
        <item m="1" x="6281"/>
        <item m="1" x="4016"/>
        <item m="1" x="3784"/>
        <item m="1" x="4517"/>
        <item m="1" x="2231"/>
        <item m="1" x="7856"/>
        <item m="1" x="5828"/>
        <item m="1" x="2171"/>
        <item m="1" x="7840"/>
        <item m="1" x="7214"/>
        <item m="1" x="5967"/>
        <item m="1" x="566"/>
        <item m="1" x="4944"/>
        <item m="1" x="2737"/>
        <item m="1" x="5425"/>
        <item m="1" x="3177"/>
        <item m="1" x="814"/>
        <item m="1" x="6538"/>
        <item m="1" x="5261"/>
        <item m="1" x="2991"/>
        <item m="1" x="4125"/>
        <item m="1" x="5202"/>
        <item m="1" x="2939"/>
        <item m="1" x="567"/>
        <item m="1" x="4949"/>
        <item m="1" x="2740"/>
        <item m="1" x="6693"/>
        <item m="1" x="5380"/>
        <item m="1" x="4518"/>
        <item m="1" x="5159"/>
        <item m="1" x="2910"/>
        <item m="1" x="3902"/>
        <item m="1" x="1601"/>
        <item m="1" x="7295"/>
        <item m="1" x="6047"/>
        <item m="1" x="3736"/>
        <item m="1" x="6839"/>
        <item m="1" x="5494"/>
        <item m="1" x="3253"/>
        <item m="1" x="909"/>
        <item m="1" x="2872"/>
        <item m="1" x="508"/>
        <item m="1" x="6480"/>
        <item m="1" x="5209"/>
        <item m="1" x="2731"/>
        <item m="1" x="1938"/>
        <item m="1" x="7603"/>
        <item m="1" x="1896"/>
        <item m="1" x="5206"/>
        <item m="1" x="2943"/>
        <item m="1" x="1662"/>
        <item m="1" x="7356"/>
        <item m="1" x="6081"/>
        <item m="1" x="5605"/>
        <item m="1" x="5102"/>
        <item m="1" x="759"/>
        <item m="1" x="2947"/>
        <item m="1" x="575"/>
        <item m="1" x="1401"/>
        <item m="1" x="7090"/>
        <item m="1" x="4940"/>
        <item m="1" x="4768"/>
        <item m="1" x="4215"/>
        <item m="1" x="2476"/>
        <item m="1" x="7555"/>
        <item m="1" x="6236"/>
        <item m="1" x="6947"/>
        <item m="1" x="535"/>
        <item m="1" x="4911"/>
        <item m="1" x="6277"/>
        <item m="1" x="2942"/>
        <item m="1" x="571"/>
        <item m="1" x="6169"/>
        <item m="1" x="494"/>
        <item m="1" x="4116"/>
        <item m="1" x="6552"/>
        <item m="1" x="6319"/>
        <item m="1" x="2960"/>
        <item m="1" x="587"/>
        <item m="1" x="4966"/>
        <item m="1" x="2757"/>
        <item m="1" x="380"/>
        <item m="1" x="3235"/>
        <item m="1" x="4744"/>
        <item m="1" x="3138"/>
        <item m="1" x="766"/>
        <item m="1" x="6489"/>
        <item m="1" x="5221"/>
        <item m="1" x="2954"/>
        <item m="1" x="3969"/>
        <item m="1" x="1474"/>
        <item m="1" x="7157"/>
        <item m="1" x="5161"/>
        <item m="1" x="2913"/>
        <item m="1" x="7835"/>
        <item m="1" x="6153"/>
        <item m="1" x="3857"/>
        <item m="1" x="1540"/>
        <item m="1" x="7251"/>
        <item m="1" x="5999"/>
        <item m="1" x="3686"/>
        <item m="1" x="1371"/>
        <item m="1" x="2948"/>
        <item m="1" x="2233"/>
        <item m="1" x="7857"/>
        <item m="1" x="1424"/>
        <item m="1" x="7110"/>
        <item m="1" x="3137"/>
        <item m="1" x="764"/>
        <item m="1" x="6487"/>
        <item m="1" x="5638"/>
        <item m="1" x="3390"/>
        <item m="1" x="4497"/>
        <item m="1" x="614"/>
        <item m="1" x="4781"/>
        <item m="1" x="4828"/>
        <item m="1" x="2586"/>
        <item m="1" x="220"/>
        <item m="1" x="4035"/>
        <item m="1" x="5595"/>
        <item m="1" x="3345"/>
        <item m="1" x="3619"/>
        <item m="1" x="1242"/>
        <item m="1" x="6882"/>
        <item m="1" x="6863"/>
        <item m="1" x="2272"/>
        <item m="1" x="234"/>
        <item m="1" x="2418"/>
        <item m="1" x="3867"/>
        <item m="1" x="1251"/>
        <item m="1" x="3052"/>
        <item m="1" x="683"/>
        <item m="1" x="2274"/>
        <item m="1" x="7904"/>
        <item m="1" x="849"/>
        <item m="1" x="1333"/>
        <item m="1" x="7033"/>
        <item m="1" x="2219"/>
        <item m="1" x="5569"/>
        <item m="1" x="3319"/>
        <item m="1" x="1004"/>
        <item m="1" x="6703"/>
        <item m="1" x="5386"/>
        <item m="1" x="3991"/>
        <item m="1" x="5119"/>
        <item m="1" x="3057"/>
        <item m="1" x="691"/>
        <item m="1" x="5125"/>
        <item m="1" x="2886"/>
        <item m="1" x="519"/>
        <item m="1" x="4317"/>
        <item m="1" x="2040"/>
        <item m="1" x="7704"/>
        <item m="1" x="1392"/>
        <item m="1" x="7084"/>
        <item m="1" x="5779"/>
        <item m="1" x="405"/>
        <item m="1" x="4809"/>
        <item m="1" x="878"/>
        <item m="1" x="6614"/>
        <item m="1" x="5322"/>
        <item m="1" x="3063"/>
        <item m="1" x="2169"/>
        <item m="1" x="7793"/>
        <item m="1" x="5160"/>
        <item m="1" x="6636"/>
        <item m="1" x="3477"/>
        <item m="1" x="1139"/>
        <item m="1" x="698"/>
        <item m="1" x="4452"/>
        <item m="1" x="6866"/>
        <item m="1" x="7640"/>
        <item m="1" x="3089"/>
        <item m="1" x="720"/>
        <item m="1" x="5508"/>
        <item m="1" x="3266"/>
        <item m="1" x="930"/>
        <item m="1" x="5344"/>
        <item m="1" x="3086"/>
        <item m="1" x="1203"/>
        <item m="1" x="6022"/>
        <item m="1" x="3525"/>
        <item m="1" x="1189"/>
        <item m="1" x="6924"/>
        <item m="1" x="5584"/>
        <item m="1" x="1575"/>
        <item m="1" x="7276"/>
        <item m="1" x="6032"/>
        <item m="1" x="3715"/>
        <item m="1" x="7861"/>
        <item m="1" x="4006"/>
        <item m="1" x="1708"/>
        <item m="1" x="7395"/>
        <item m="1" x="4514"/>
        <item m="1" x="6145"/>
        <item m="1" x="3844"/>
        <item m="1" x="1529"/>
        <item m="1" x="7044"/>
        <item m="1" x="5949"/>
        <item m="1" x="4665"/>
        <item m="1" x="5390"/>
        <item m="1" x="2800"/>
        <item m="1" x="7563"/>
        <item m="1" x="6244"/>
        <item m="1" x="3960"/>
        <item m="1" x="1665"/>
        <item m="1" x="7358"/>
        <item m="1" x="6082"/>
        <item m="1" x="4015"/>
        <item m="1" x="802"/>
        <item m="1" x="6134"/>
        <item m="1" x="6139"/>
        <item m="1" x="3831"/>
        <item m="1" x="4404"/>
        <item m="1" x="4427"/>
        <item m="1" x="2131"/>
        <item m="1" x="4435"/>
        <item m="1" x="2146"/>
        <item m="1" x="195"/>
        <item m="1" x="4628"/>
        <item m="1" x="2369"/>
        <item m="1" x="7999"/>
        <item m="1" x="4447"/>
        <item m="1" x="68"/>
        <item m="1" x="2244"/>
        <item m="1" x="4295"/>
        <item m="1" x="2023"/>
        <item m="1" x="2648"/>
        <item m="1" x="284"/>
        <item m="1" x="340"/>
        <item m="1" x="4741"/>
        <item m="1" x="2510"/>
        <item m="1" x="7570"/>
        <item m="1" x="6258"/>
        <item m="1" x="3979"/>
        <item m="1" x="1683"/>
        <item m="1" x="7373"/>
        <item m="1" x="6093"/>
        <item m="1" x="3790"/>
        <item m="1" x="1486"/>
        <item m="1" x="7168"/>
        <item m="1" x="2147"/>
        <item m="1" x="7777"/>
        <item m="1" x="2965"/>
        <item m="1" x="4968"/>
        <item m="1" x="2759"/>
        <item m="1" x="385"/>
        <item m="1" x="4790"/>
        <item m="1" x="2553"/>
        <item m="1" x="3161"/>
        <item m="1" x="789"/>
        <item m="1" x="6513"/>
        <item m="1" x="5241"/>
        <item m="1" x="4980"/>
        <item m="1" x="2767"/>
        <item m="1" x="5592"/>
        <item m="1" x="3343"/>
        <item m="1" x="1032"/>
        <item m="1" x="3508"/>
        <item m="1" x="1179"/>
        <item m="1" x="6910"/>
        <item m="1" x="445"/>
        <item m="1" x="855"/>
        <item m="1" x="6575"/>
        <item m="1" x="5290"/>
        <item m="1" x="1687"/>
        <item m="1" x="7375"/>
        <item m="1" x="853"/>
        <item m="1" x="5288"/>
        <item m="1" x="3019"/>
        <item m="1" x="647"/>
        <item m="1" x="5049"/>
        <item m="1" x="2830"/>
        <item m="1" x="5633"/>
        <item m="1" x="3386"/>
        <item m="1" x="5746"/>
        <item m="1" x="5672"/>
        <item m="1" x="3438"/>
        <item m="1" x="5606"/>
        <item m="1" x="3357"/>
        <item m="1" x="1051"/>
        <item m="1" x="4793"/>
        <item m="1" x="1685"/>
        <item m="1" x="4002"/>
        <item m="1" x="1704"/>
        <item m="1" x="7390"/>
        <item m="1" x="1499"/>
        <item m="1" x="2927"/>
        <item m="1" x="5474"/>
        <item m="1" x="5042"/>
        <item m="1" x="495"/>
        <item m="1" x="1084"/>
        <item m="1" x="6797"/>
        <item m="1" x="5300"/>
        <item m="1" x="3037"/>
        <item m="1" x="5836"/>
        <item m="1" x="5255"/>
        <item m="1" x="6102"/>
        <item m="1" x="3799"/>
        <item m="1" x="1500"/>
        <item m="1" x="7190"/>
        <item m="1" x="1814"/>
        <item m="1" x="7490"/>
        <item m="1" x="6195"/>
        <item m="1" x="2819"/>
        <item m="1" x="453"/>
        <item m="1" x="4663"/>
        <item m="1" x="4873"/>
        <item m="1" x="4526"/>
        <item m="1" x="315"/>
        <item m="1" x="3273"/>
        <item m="1" x="7128"/>
        <item m="1" x="536"/>
        <item m="1" x="3348"/>
        <item m="1" x="947"/>
        <item m="1" x="2868"/>
        <item m="1" x="4689"/>
        <item m="1" x="2432"/>
        <item m="1" x="73"/>
        <item m="1" x="4527"/>
        <item m="1" x="4011"/>
        <item m="1" x="1715"/>
        <item m="1" x="7400"/>
        <item m="1" x="6112"/>
        <item m="1" x="6888"/>
        <item m="1" x="5550"/>
        <item m="1" x="3307"/>
        <item m="1" x="980"/>
        <item m="1" x="6682"/>
        <item m="1" x="5373"/>
        <item m="1" x="5986"/>
        <item m="1" x="3669"/>
        <item m="1" x="1354"/>
        <item m="1" x="773"/>
        <item m="1" x="6499"/>
        <item m="1" x="2370"/>
        <item m="1" x="2529"/>
        <item m="1" x="156"/>
        <item m="1" x="4703"/>
        <item m="1" x="2938"/>
        <item m="1" x="4344"/>
        <item m="1" x="2059"/>
        <item m="1" x="7007"/>
        <item m="1" x="4603"/>
        <item m="1" x="2336"/>
        <item m="1" x="7968"/>
        <item m="1" x="6771"/>
        <item m="1" x="5443"/>
        <item m="1" x="2831"/>
        <item m="1" x="4604"/>
        <item m="1" x="5487"/>
        <item m="1" x="2362"/>
        <item m="1" x="664"/>
        <item m="1" x="1218"/>
        <item m="1" x="419"/>
        <item m="1" x="667"/>
        <item m="1" x="4621"/>
        <item m="1" x="1221"/>
        <item m="1" x="3042"/>
        <item m="1" x="280"/>
        <item m="1" x="3040"/>
        <item m="1" x="6835"/>
        <item m="1" x="263"/>
        <item m="1" x="270"/>
        <item m="1" x="1119"/>
        <item m="1" x="6845"/>
        <item m="1" x="5499"/>
        <item m="1" x="3260"/>
        <item m="1" x="919"/>
        <item m="1" x="2727"/>
        <item m="1" x="6637"/>
        <item m="1" x="5345"/>
        <item m="1" x="1734"/>
        <item m="1" x="7417"/>
        <item m="1" x="5035"/>
        <item m="1" x="2814"/>
        <item m="1" x="841"/>
        <item m="1" x="6871"/>
        <item m="1" x="13"/>
        <item m="1" x="2541"/>
        <item m="1" x="168"/>
        <item m="1" x="5878"/>
        <item m="1" x="2940"/>
        <item m="1" x="1047"/>
        <item m="1" x="6752"/>
        <item m="1" x="4048"/>
        <item m="1" x="6584"/>
        <item m="1" x="7482"/>
        <item m="1" x="6188"/>
        <item m="1" x="7512"/>
        <item m="1" x="5252"/>
        <item m="1" x="483"/>
        <item m="1" x="4943"/>
        <item m="1" x="4259"/>
        <item m="1" x="5520"/>
        <item m="1" x="2267"/>
        <item m="1" x="1416"/>
        <item m="1" x="7104"/>
        <item m="1" x="629"/>
        <item m="1" x="5024"/>
        <item m="1" x="7837"/>
        <item m="1" x="2664"/>
        <item m="1" x="1788"/>
        <item m="1" x="897"/>
        <item m="1" x="6603"/>
        <item m="1" x="5231"/>
        <item m="1" x="5684"/>
        <item m="1" x="2063"/>
        <item m="1" x="1388"/>
        <item m="1" x="7080"/>
        <item m="1" x="5775"/>
        <item m="1" x="4341"/>
        <item m="1" x="2057"/>
        <item m="1" x="2840"/>
        <item m="1" x="468"/>
        <item m="1" x="1068"/>
        <item m="1" x="2770"/>
        <item m="1" x="5251"/>
        <item m="1" x="2779"/>
        <item m="1" x="413"/>
        <item m="1" x="6186"/>
        <item m="1" x="3721"/>
        <item m="1" x="4202"/>
        <item m="1" x="1931"/>
        <item m="1" x="7956"/>
        <item m="1" x="7320"/>
        <item m="1" x="6063"/>
        <item m="1" x="3755"/>
        <item m="1" x="1436"/>
        <item m="1" x="7301"/>
        <item m="1" x="5225"/>
        <item m="1" x="6170"/>
        <item m="1" x="2504"/>
        <item m="1" x="2784"/>
        <item m="1" x="424"/>
        <item m="1" x="3354"/>
        <item m="1" x="1049"/>
        <item m="1" x="6611"/>
        <item m="1" x="2223"/>
        <item m="1" x="7845"/>
        <item m="1" x="4273"/>
        <item m="1" x="1997"/>
        <item m="1" x="3876"/>
        <item m="1" x="1565"/>
        <item m="1" x="7270"/>
        <item m="1" x="6534"/>
        <item m="1" x="5259"/>
        <item m="1" x="2986"/>
        <item m="1" x="609"/>
        <item m="1" x="4996"/>
        <item m="1" x="7184"/>
        <item m="1" x="5942"/>
        <item m="1" x="4418"/>
        <item m="1" x="2123"/>
        <item m="1" x="5988"/>
        <item m="1" x="2383"/>
        <item m="1" x="1078"/>
        <item m="1" x="6789"/>
        <item m="1" x="5460"/>
        <item m="1" x="3216"/>
        <item m="1" x="5958"/>
        <item m="1" x="7287"/>
        <item m="1" x="4260"/>
        <item m="1" x="4982"/>
        <item m="1" x="4909"/>
        <item m="1" x="2690"/>
        <item m="1" x="316"/>
        <item m="1" x="1865"/>
        <item m="1" x="7534"/>
        <item m="1" x="6221"/>
        <item m="1" x="80"/>
        <item m="1" x="2250"/>
        <item m="1" x="6566"/>
        <item m="1" x="5716"/>
        <item m="1" x="4159"/>
        <item m="1" x="1897"/>
        <item m="1" x="7557"/>
        <item m="1" x="6237"/>
        <item m="1" x="5831"/>
        <item m="1" x="7285"/>
        <item m="1" x="7961"/>
        <item m="1" x="7030"/>
        <item m="1" x="5711"/>
        <item m="1" x="7266"/>
        <item m="1" x="6559"/>
        <item m="1" x="1052"/>
        <item m="1" x="7192"/>
        <item m="1" x="4937"/>
        <item m="1" x="774"/>
        <item m="1" x="1885"/>
        <item m="1" x="386"/>
        <item m="1" x="6303"/>
        <item m="1" x="1727"/>
        <item m="1" x="4093"/>
        <item m="1" x="5994"/>
        <item m="1" x="5995"/>
        <item m="1" x="3233"/>
        <item m="1" x="889"/>
        <item m="1" x="605"/>
        <item m="1" x="6207"/>
        <item m="1" x="3917"/>
        <item m="1" x="5450"/>
        <item m="1" x="4451"/>
        <item m="1" x="6966"/>
        <item m="1" x="6012"/>
        <item m="1" x="484"/>
        <item m="1" x="6626"/>
        <item m="1" x="5338"/>
        <item m="1" x="3077"/>
        <item m="1" x="6157"/>
        <item m="1" x="6164"/>
        <item m="1" x="6171"/>
        <item m="1" x="7972"/>
        <item m="1" x="1082"/>
        <item m="1" x="6794"/>
        <item m="1" x="354"/>
        <item m="1" x="143"/>
        <item m="1" x="1641"/>
        <item m="1" x="7340"/>
        <item m="1" x="4524"/>
        <item m="1" x="7866"/>
        <item m="1" x="590"/>
        <item m="1" x="5403"/>
        <item m="1" x="2974"/>
        <item m="1" x="598"/>
        <item m="1" x="591"/>
        <item m="1" x="5034"/>
        <item m="1" x="2811"/>
        <item m="1" x="5620"/>
        <item m="1" x="6278"/>
        <item m="1" x="3206"/>
        <item m="1" x="6574"/>
        <item m="1" x="7056"/>
        <item m="1" x="3981"/>
        <item m="1" x="6101"/>
        <item m="1" x="3798"/>
        <item m="1" x="642"/>
        <item m="1" x="4414"/>
        <item m="1" x="2859"/>
        <item m="1" x="1256"/>
        <item m="1" x="6972"/>
        <item m="1" x="5635"/>
        <item m="1" x="5701"/>
        <item m="1" x="1975"/>
        <item m="1" x="7647"/>
        <item m="1" x="6312"/>
        <item m="1" x="2489"/>
        <item m="1" x="3478"/>
        <item m="1" x="918"/>
        <item m="1" x="6624"/>
        <item m="1" x="5334"/>
        <item m="1" x="3074"/>
        <item m="1" x="534"/>
        <item m="1" x="5840"/>
        <item m="1" x="3593"/>
        <item m="1" x="1263"/>
        <item m="1" x="5852"/>
        <item m="1" x="3604"/>
        <item m="1" x="1271"/>
        <item m="1" x="6802"/>
        <item m="1" x="5470"/>
        <item m="1" x="7293"/>
        <item m="1" x="547"/>
        <item m="1" x="4928"/>
        <item m="1" x="330"/>
        <item m="1" x="7504"/>
        <item m="1" x="752"/>
        <item m="1" x="4594"/>
        <item m="1" x="7277"/>
        <item m="1" x="4573"/>
        <item m="1" x="5770"/>
        <item m="1" x="3276"/>
        <item m="1" x="941"/>
        <item m="1" x="1619"/>
        <item m="1" x="7305"/>
        <item m="1" x="6056"/>
        <item m="1" x="3748"/>
        <item m="1" x="1431"/>
        <item m="1" x="7114"/>
        <item m="1" x="4599"/>
        <item m="1" x="7831"/>
        <item m="1" x="3601"/>
        <item m="1" x="3380"/>
        <item m="1" x="1070"/>
        <item m="1" x="2674"/>
        <item m="1" x="305"/>
        <item m="1" x="5998"/>
        <item m="1" x="3682"/>
        <item m="1" x="7060"/>
        <item m="1" x="3640"/>
        <item m="1" x="4649"/>
        <item m="1" x="2392"/>
        <item m="1" x="2576"/>
        <item m="1" x="210"/>
        <item m="1" x="7899"/>
        <item m="1" x="2056"/>
        <item m="1" x="7721"/>
        <item m="1" x="6276"/>
        <item m="1" x="4010"/>
        <item m="1" x="1712"/>
        <item m="1" x="7397"/>
        <item m="1" x="1380"/>
        <item m="1" x="7070"/>
        <item m="1" x="5759"/>
        <item m="1" x="3513"/>
        <item m="1" x="4306"/>
        <item m="1" x="2033"/>
        <item m="1" x="5036"/>
        <item m="1" x="2817"/>
        <item m="1" x="451"/>
        <item m="1" x="240"/>
        <item m="1" x="4662"/>
        <item m="1" x="7507"/>
        <item m="1" x="5800"/>
        <item m="1" x="3562"/>
        <item m="1" x="1237"/>
        <item m="1" x="6569"/>
        <item m="1" x="3084"/>
        <item m="1" x="715"/>
        <item m="1" x="5154"/>
        <item m="1" x="2908"/>
        <item m="1" x="1806"/>
        <item m="1" x="7479"/>
        <item m="1" x="6013"/>
        <item m="1" x="3695"/>
        <item m="1" x="2715"/>
        <item m="1" x="337"/>
        <item m="1" x="4196"/>
        <item m="1" x="1167"/>
        <item m="1" x="6905"/>
        <item m="1" x="5185"/>
        <item m="1" x="2925"/>
        <item m="1" x="557"/>
        <item m="1" x="403"/>
        <item m="1" x="4629"/>
        <item m="1" x="2371"/>
        <item m="1" x="2"/>
        <item m="1" x="1902"/>
        <item m="1" x="7564"/>
        <item m="1" x="1666"/>
        <item m="1" x="6245"/>
        <item m="1" x="3963"/>
        <item m="1" x="7359"/>
        <item m="1" x="4766"/>
        <item m="1" x="6550"/>
        <item m="1" x="5273"/>
        <item m="1" x="3005"/>
        <item m="1" x="4713"/>
        <item m="1" x="2461"/>
        <item m="1" x="5329"/>
        <item m="1" x="2496"/>
        <item m="1" x="120"/>
        <item m="1" x="5441"/>
        <item m="1" x="3033"/>
        <item m="1" x="658"/>
        <item m="1" x="2232"/>
        <item m="1" x="4426"/>
        <item m="1" x="2128"/>
        <item m="1" x="4583"/>
        <item m="1" x="2310"/>
        <item m="1" x="7948"/>
        <item m="1" x="4400"/>
        <item m="1" x="7495"/>
        <item m="1" x="4118"/>
        <item m="1" x="1845"/>
        <item m="1" x="7519"/>
        <item m="1" x="410"/>
        <item m="1" x="2853"/>
        <item m="1" x="7900"/>
        <item m="1" x="4291"/>
        <item m="1" x="2019"/>
        <item m="1" x="7684"/>
        <item m="1" x="6333"/>
        <item m="1" x="4079"/>
        <item m="1" x="1781"/>
        <item m="1" x="4027"/>
        <item m="1" x="1732"/>
        <item m="1" x="7414"/>
        <item m="1" x="6131"/>
        <item m="1" x="3825"/>
        <item m="1" x="1519"/>
        <item m="1" x="7215"/>
        <item m="1" x="5968"/>
        <item m="1" x="7824"/>
        <item m="1" x="4242"/>
        <item m="1" x="1963"/>
        <item m="1" x="7632"/>
        <item m="1" x="6306"/>
        <item m="1" x="1156"/>
        <item m="1" x="6897"/>
        <item m="1" x="5559"/>
        <item m="1" x="3312"/>
        <item m="1" x="991"/>
        <item m="1" x="7536"/>
        <item m="1" x="6223"/>
        <item m="1" x="3934"/>
        <item m="1" x="6750"/>
        <item m="1" x="5432"/>
        <item m="1" x="6234"/>
        <item m="1" x="3952"/>
        <item m="1" x="4378"/>
        <item m="1" x="2086"/>
        <item m="1" x="7993"/>
        <item m="1" x="4443"/>
        <item m="1" x="2165"/>
        <item m="1" x="7788"/>
        <item m="1" x="4656"/>
        <item m="1" x="2402"/>
        <item m="1" x="617"/>
        <item m="1" x="4025"/>
        <item m="1" x="1730"/>
        <item m="1" x="7412"/>
        <item m="1" x="6129"/>
        <item m="1" x="5601"/>
        <item m="1" x="3351"/>
        <item m="1" x="1043"/>
        <item m="1" x="823"/>
        <item m="1" x="6576"/>
        <item m="1" x="5291"/>
        <item m="1" x="3023"/>
        <item m="1" x="650"/>
        <item m="1" x="6857"/>
        <item m="1" x="4792"/>
        <item m="1" x="6094"/>
        <item m="1" x="6192"/>
        <item m="1" x="6261"/>
        <item m="1" x="3987"/>
        <item m="1" x="4377"/>
        <item m="1" x="2085"/>
        <item m="1" x="2846"/>
        <item m="1" x="475"/>
        <item m="1" x="3620"/>
        <item m="1" x="7217"/>
        <item m="1" x="5972"/>
        <item m="1" x="3480"/>
        <item m="1" x="1143"/>
        <item m="1" x="6877"/>
        <item m="1" x="4913"/>
        <item m="1" x="2694"/>
        <item m="1" x="323"/>
        <item m="1" x="1847"/>
        <item m="1" x="2749"/>
        <item m="1" x="5433"/>
        <item m="1" x="3183"/>
        <item m="1" x="822"/>
        <item m="1" x="6545"/>
        <item m="1" x="5266"/>
        <item m="1" x="6209"/>
        <item m="1" x="3918"/>
        <item m="1" x="1613"/>
        <item m="1" x="5543"/>
        <item m="1" x="3301"/>
        <item m="1" x="4356"/>
        <item m="1" x="2067"/>
        <item m="1" x="4402"/>
        <item m="1" x="1025"/>
        <item m="1" x="229"/>
        <item m="1" x="5448"/>
        <item m="1" x="3204"/>
        <item m="1" x="850"/>
        <item m="1" x="6571"/>
        <item m="1" x="2091"/>
        <item m="1" x="1872"/>
        <item m="1" x="7543"/>
        <item m="1" x="6230"/>
        <item m="1" x="3945"/>
        <item m="1" x="1639"/>
        <item m="1" x="6798"/>
        <item m="1" x="5467"/>
        <item m="1" x="2289"/>
        <item m="1" x="7927"/>
        <item m="1" x="1126"/>
        <item m="1" x="6853"/>
        <item m="1" x="5507"/>
        <item m="1" x="3265"/>
        <item m="1" x="6607"/>
        <item m="1" x="7765"/>
        <item m="1" x="228"/>
        <item m="1" x="4950"/>
        <item m="1" x="5790"/>
        <item m="1" x="3551"/>
        <item m="1" x="2883"/>
        <item m="1" x="3211"/>
        <item m="1" x="7291"/>
        <item m="1" x="5493"/>
        <item m="1" x="3252"/>
        <item m="1" x="908"/>
        <item m="1" x="6826"/>
        <item m="1" x="5483"/>
        <item m="1" x="3239"/>
        <item m="1" x="4465"/>
        <item m="1" x="2182"/>
        <item m="1" x="7804"/>
        <item m="1" x="4216"/>
        <item m="1" x="1940"/>
        <item m="1" x="7605"/>
        <item m="1" x="6285"/>
        <item m="1" x="223"/>
        <item m="1" x="4652"/>
        <item m="1" x="2395"/>
        <item m="1" x="31"/>
        <item m="1" x="4477"/>
        <item m="1" x="2192"/>
        <item m="1" x="7816"/>
        <item m="1" x="446"/>
        <item m="1" x="4843"/>
        <item m="1" x="3002"/>
        <item m="1" x="626"/>
        <item m="1" x="7126"/>
        <item m="1" x="1199"/>
        <item m="1" x="6935"/>
        <item m="1" x="5417"/>
        <item m="1" x="3169"/>
        <item m="1" x="805"/>
        <item m="1" x="4929"/>
        <item m="1" x="5244"/>
        <item m="1" x="3550"/>
        <item m="1" x="1344"/>
        <item m="1" x="7039"/>
        <item m="1" x="5720"/>
        <item m="1" x="3302"/>
        <item m="1" x="4566"/>
        <item m="1" x="2288"/>
        <item m="1" x="2972"/>
        <item m="1" x="2978"/>
        <item m="1" x="599"/>
        <item m="1" x="5890"/>
        <item m="1" x="6077"/>
        <item m="1" x="5359"/>
        <item m="1" x="3780"/>
        <item m="1" x="7156"/>
        <item m="1" x="2558"/>
        <item m="1" x="4625"/>
        <item m="1" x="4815"/>
        <item m="1" x="6790"/>
        <item m="1" x="5461"/>
        <item m="1" x="3217"/>
        <item m="1" x="867"/>
        <item m="1" x="7282"/>
        <item m="1" x="7091"/>
        <item m="1" x="286"/>
        <item m="1" x="4701"/>
        <item m="1" x="193"/>
        <item m="1" x="1215"/>
        <item m="1" x="2572"/>
        <item m="1" x="206"/>
        <item m="1" x="4857"/>
        <item m="1" x="2623"/>
        <item m="1" x="255"/>
        <item m="1" x="6583"/>
        <item m="1" x="1582"/>
        <item m="1" x="6037"/>
        <item m="1" x="3722"/>
        <item m="1" x="1402"/>
        <item m="1" x="5784"/>
        <item m="1" x="2650"/>
        <item m="1" x="2451"/>
        <item m="1" x="6027"/>
        <item m="1" x="757"/>
        <item m="1" x="488"/>
        <item m="1" x="4867"/>
        <item m="1" x="3020"/>
        <item m="1" x="4806"/>
        <item m="1" x="3563"/>
        <item m="1" x="44"/>
        <item m="1" x="7271"/>
        <item m="1" x="6026"/>
        <item m="1" x="5046"/>
        <item m="1" x="2827"/>
        <item m="1" x="1044"/>
        <item m="1" x="6521"/>
        <item m="1" x="4333"/>
        <item m="1" x="2052"/>
        <item m="1" x="7716"/>
        <item m="1" x="4101"/>
        <item m="1" x="2577"/>
        <item m="1" x="211"/>
        <item m="1" x="4642"/>
        <item m="1" x="2384"/>
        <item m="1" x="502"/>
        <item m="1" x="4696"/>
        <item m="1" x="2439"/>
        <item m="1" x="1367"/>
        <item m="1" x="4820"/>
        <item m="1" x="4340"/>
        <item m="1" x="6109"/>
        <item m="1" x="3805"/>
        <item m="1" x="6577"/>
        <item m="1" x="6199"/>
        <item m="1" x="5284"/>
        <item m="1" x="531"/>
        <item m="1" x="4904"/>
        <item m="1" x="2684"/>
        <item m="1" x="312"/>
        <item m="1" x="4723"/>
        <item m="1" x="2478"/>
        <item m="1" x="4933"/>
        <item m="1" x="3502"/>
        <item m="1" x="3110"/>
        <item m="1" x="5174"/>
        <item m="1" x="3500"/>
        <item m="1" x="1165"/>
        <item m="1" x="6903"/>
        <item m="1" x="5566"/>
        <item m="1" x="3314"/>
        <item m="1" x="997"/>
        <item m="1" x="6697"/>
        <item m="1" x="5382"/>
        <item m="1" x="6733"/>
        <item m="1" x="5247"/>
        <item m="1" x="2981"/>
        <item m="1" x="602"/>
        <item m="1" x="6143"/>
        <item m="1" x="3840"/>
        <item m="1" x="3668"/>
        <item m="1" x="1352"/>
        <item m="1" x="2074"/>
        <item m="1" x="3308"/>
        <item m="1" x="983"/>
        <item m="1" x="6686"/>
        <item m="1" x="5374"/>
        <item m="1" x="3125"/>
        <item m="1" x="754"/>
        <item m="1" x="7051"/>
        <item m="1" x="4844"/>
        <item m="1" x="801"/>
        <item m="1" x="6523"/>
        <item m="1" x="5248"/>
        <item m="1" x="2982"/>
        <item m="1" x="603"/>
        <item m="1" x="1148"/>
        <item m="1" x="1351"/>
        <item m="1" x="7043"/>
        <item m="1" x="5727"/>
        <item m="1" x="5970"/>
        <item m="1" x="3661"/>
        <item m="1" x="6052"/>
        <item m="1" x="3743"/>
        <item m="1" x="1426"/>
        <item m="1" x="2902"/>
        <item m="1" x="6779"/>
        <item m="1" x="5293"/>
        <item m="1" x="4352"/>
        <item m="1" x="2065"/>
        <item m="1" x="7729"/>
        <item m="1" x="7383"/>
        <item m="1" x="6099"/>
        <item m="1" x="7408"/>
        <item m="1" x="6967"/>
        <item m="1" x="5632"/>
        <item m="1" x="3383"/>
        <item m="1" x="1073"/>
        <item m="1" x="4822"/>
        <item m="1" x="2578"/>
        <item m="1" x="212"/>
        <item m="1" x="4643"/>
        <item m="1" x="4853"/>
        <item m="1" x="6307"/>
        <item m="1" x="4041"/>
        <item m="1" x="1745"/>
        <item m="1" x="7429"/>
        <item m="1" x="6140"/>
        <item m="1" x="3833"/>
        <item m="1" x="1525"/>
        <item m="1" x="7318"/>
        <item m="1" x="6061"/>
        <item m="1" x="3753"/>
        <item m="1" x="3254"/>
        <item m="1" x="3418"/>
        <item m="1" x="2642"/>
        <item m="1" x="1585"/>
        <item m="1" x="6531"/>
        <item m="1" x="4403"/>
        <item m="1" x="4206"/>
        <item m="1" x="3688"/>
        <item m="1" x="1375"/>
        <item m="1" x="4484"/>
        <item m="1" x="2204"/>
        <item m="1" x="4512"/>
        <item m="1" x="2225"/>
        <item m="1" x="7847"/>
        <item m="1" x="4274"/>
        <item m="1" x="3670"/>
        <item m="1" x="1356"/>
        <item m="1" x="7046"/>
        <item m="1" x="5732"/>
        <item m="1" x="7620"/>
        <item m="1" x="1736"/>
        <item m="1" x="7419"/>
        <item m="1" x="3476"/>
        <item m="1" x="1138"/>
        <item m="1" x="6876"/>
        <item m="1" x="4453"/>
        <item m="1" x="2170"/>
        <item m="1" x="7795"/>
        <item m="1" x="1999"/>
        <item m="1" x="7668"/>
        <item m="1" x="4684"/>
        <item m="1" x="3660"/>
        <item m="1" x="3494"/>
        <item m="1" x="5091"/>
        <item m="1" x="4213"/>
        <item m="1" x="1935"/>
        <item m="1" x="7599"/>
        <item m="1" x="6282"/>
        <item m="1" x="4018"/>
        <item m="1" x="1723"/>
        <item m="1" x="7405"/>
        <item m="1" x="6123"/>
        <item m="1" x="3818"/>
        <item m="1" x="4473"/>
        <item m="1" x="2190"/>
        <item m="1" x="7813"/>
        <item m="1" x="4228"/>
        <item m="1" x="1953"/>
        <item m="1" x="6294"/>
        <item m="1" x="4230"/>
        <item m="1" x="1954"/>
        <item m="1" x="7622"/>
        <item m="1" x="6295"/>
        <item m="1" x="4032"/>
        <item m="1" x="4319"/>
        <item m="1" x="2042"/>
        <item m="1" x="7707"/>
        <item m="1" x="4095"/>
        <item m="1" x="1807"/>
        <item m="1" x="7480"/>
        <item m="1" x="6187"/>
        <item m="1" x="4810"/>
        <item m="1" x="5405"/>
        <item m="1" x="5552"/>
        <item m="1" x="1395"/>
        <item m="1" x="7085"/>
        <item m="1" x="3092"/>
        <item m="1" x="6122"/>
        <item m="1" x="3817"/>
        <item m="1" x="3392"/>
        <item m="1" x="5649"/>
        <item m="1" x="2241"/>
        <item m="1" x="7865"/>
        <item m="1" x="6709"/>
        <item m="1" x="3892"/>
        <item m="1" x="4201"/>
        <item m="1" x="7575"/>
        <item m="1" x="6263"/>
        <item m="1" x="3988"/>
        <item m="1" x="7634"/>
        <item m="1" x="6178"/>
        <item m="1" x="831"/>
        <item m="1" x="1652"/>
        <item m="1" x="7075"/>
        <item m="1" x="334"/>
        <item m="1" x="4734"/>
        <item m="1" x="5437"/>
        <item m="1" x="4698"/>
        <item m="1" x="2441"/>
        <item m="1" x="7335"/>
        <item m="1" x="6068"/>
        <item m="1" x="6988"/>
        <item m="1" x="5652"/>
        <item m="1" x="7253"/>
        <item m="1" x="2258"/>
        <item m="1" x="7882"/>
        <item m="1" x="2043"/>
        <item m="1" x="7926"/>
        <item m="1" x="7500"/>
        <item m="1" x="1472"/>
        <item m="1" x="3306"/>
        <item m="1" x="977"/>
        <item m="1" x="6680"/>
        <item m="1" x="5098"/>
        <item m="1" x="2870"/>
        <item m="1" x="506"/>
        <item m="1" x="4882"/>
        <item m="1" x="4550"/>
        <item m="1" x="4250"/>
        <item m="1" x="1971"/>
        <item m="1" x="7643"/>
        <item m="1" x="4279"/>
        <item m="1" x="2006"/>
        <item m="1" x="2379"/>
        <item m="1" x="10"/>
        <item m="1" x="4458"/>
        <item m="1" x="2175"/>
        <item m="1" x="7800"/>
        <item m="1" x="6465"/>
        <item m="1" x="5399"/>
        <item m="1" x="3151"/>
        <item m="1" x="1184"/>
        <item m="1" x="5577"/>
        <item m="1" x="3328"/>
        <item m="1" x="1014"/>
        <item m="1" x="6716"/>
        <item m="1" x="3196"/>
        <item m="1" x="835"/>
        <item m="1" x="6555"/>
        <item m="1" x="5279"/>
        <item m="1" x="3010"/>
        <item m="1" x="637"/>
        <item m="1" x="5030"/>
        <item m="1" x="2808"/>
        <item m="1" x="5624"/>
        <item m="1" x="1600"/>
        <item m="1" x="6053"/>
        <item m="1" x="3746"/>
        <item m="1" x="1429"/>
        <item m="1" x="7113"/>
        <item m="1" x="5814"/>
        <item m="1" x="3576"/>
        <item m="1" x="1245"/>
        <item m="1" x="7535"/>
        <item m="1" x="6222"/>
        <item m="1" x="3933"/>
        <item m="1" x="1630"/>
        <item m="1" x="7319"/>
        <item m="1" x="6062"/>
        <item m="1" x="7744"/>
        <item m="1" x="3681"/>
        <item m="1" x="1366"/>
        <item m="1" x="4687"/>
        <item m="1" x="2430"/>
        <item m="1" x="3786"/>
        <item m="1" x="1484"/>
        <item m="1" x="7165"/>
        <item m="1" x="5912"/>
        <item m="1" x="1986"/>
        <item m="1" x="7655"/>
        <item m="1" x="6318"/>
        <item m="1" x="1171"/>
        <item m="1" x="6108"/>
        <item m="1" x="3804"/>
        <item m="1" x="5786"/>
        <item m="1" x="3544"/>
        <item m="1" x="4750"/>
        <item m="1" x="162"/>
        <item m="1" x="4596"/>
        <item m="1" x="2328"/>
        <item m="1" x="7962"/>
        <item m="1" x="4422"/>
        <item m="1" x="3663"/>
        <item m="1" x="4308"/>
        <item m="1" x="1772"/>
        <item m="1" x="7453"/>
        <item m="1" x="888"/>
        <item m="1" x="6596"/>
        <item m="1" x="5308"/>
        <item m="1" x="3048"/>
        <item m="1" x="7790"/>
        <item m="1" x="4199"/>
        <item m="1" x="2652"/>
        <item m="1" x="289"/>
        <item m="1" x="4779"/>
        <item m="1" x="4606"/>
        <item m="1" x="4774"/>
        <item m="1" x="169"/>
        <item m="1" x="7572"/>
        <item m="1" x="5363"/>
        <item m="1" x="4390"/>
        <item m="1" x="4460"/>
        <item m="1" x="6990"/>
        <item m="1" x="5655"/>
        <item m="1" x="5899"/>
        <item m="1" x="1296"/>
        <item m="1" x="6996"/>
        <item m="1" x="5660"/>
        <item m="1" x="5910"/>
        <item m="1" x="5096"/>
        <item m="1" x="3815"/>
        <item m="1" x="6034"/>
        <item m="1" x="5643"/>
        <item m="1" x="1088"/>
        <item m="1" x="6801"/>
        <item m="1" x="5468"/>
        <item m="1" x="6775"/>
        <item m="1" x="5452"/>
        <item m="1" x="352"/>
        <item m="1" x="6846"/>
        <item m="1" x="3772"/>
        <item m="1" x="7150"/>
        <item m="1" x="7088"/>
        <item m="1" x="6048"/>
        <item m="1" x="3641"/>
        <item m="1" x="2264"/>
        <item m="1" x="7888"/>
        <item m="1" x="526"/>
        <item m="1" x="4901"/>
        <item m="1" x="2679"/>
        <item m="1" x="6083"/>
        <item m="1" x="1467"/>
        <item m="1" x="3737"/>
        <item m="1" x="1418"/>
        <item m="1" x="7107"/>
        <item m="1" x="5797"/>
        <item m="1" x="3558"/>
        <item m="1" x="5934"/>
        <item m="1" x="4710"/>
        <item m="1" x="2460"/>
        <item m="1" x="91"/>
        <item m="1" x="4541"/>
        <item m="1" x="769"/>
        <item m="1" x="2856"/>
        <item m="1" x="5271"/>
        <item m="1" x="3003"/>
        <item m="1" x="4613"/>
        <item m="1" x="2353"/>
        <item m="1" x="7984"/>
        <item m="1" x="6729"/>
        <item m="1" x="2667"/>
        <item m="1" x="302"/>
        <item m="1" x="4717"/>
        <item m="1" x="2469"/>
        <item m="1" x="97"/>
        <item m="1" x="1892"/>
        <item m="1" x="7553"/>
        <item m="1" x="1457"/>
        <item m="1" x="7140"/>
        <item m="1" x="5879"/>
        <item m="1" x="3617"/>
        <item m="1" x="1285"/>
        <item m="1" x="7894"/>
        <item m="1" x="4337"/>
        <item m="1" x="1882"/>
        <item m="1" x="7546"/>
        <item m="1" x="7742"/>
        <item m="1" x="4140"/>
        <item m="1" x="1875"/>
        <item m="1" x="7544"/>
        <item m="1" x="6231"/>
        <item m="1" x="3946"/>
        <item m="1" x="1640"/>
        <item m="1" x="7336"/>
        <item m="1" x="2301"/>
        <item m="1" x="7942"/>
        <item m="1" x="4393"/>
        <item m="1" x="2104"/>
        <item m="1" x="7749"/>
        <item m="1" x="4153"/>
        <item m="1" x="1894"/>
        <item m="1" x="3773"/>
        <item m="1" x="4472"/>
        <item m="1" x="1419"/>
        <item m="1" x="4851"/>
        <item m="1" x="2611"/>
        <item m="1" x="246"/>
        <item m="1" x="3781"/>
        <item m="1" x="1475"/>
        <item m="1" x="7158"/>
        <item m="1" x="5901"/>
        <item m="1" x="1297"/>
        <item m="1" x="6997"/>
        <item m="1" x="3071"/>
        <item m="1" x="705"/>
        <item m="1" x="3111"/>
        <item m="1" x="740"/>
        <item m="1" x="2100"/>
        <item m="1" x="2178"/>
        <item m="1" x="5887"/>
        <item m="1" x="3624"/>
        <item m="1" x="1288"/>
        <item m="1" x="3630"/>
        <item m="1" x="3634"/>
        <item m="1" x="3103"/>
        <item m="1" x="2199"/>
        <item m="1" x="4564"/>
        <item m="1" x="2287"/>
        <item m="1" x="7923"/>
        <item m="1" x="4368"/>
        <item m="1" x="5974"/>
        <item m="1" x="731"/>
        <item m="1" x="5181"/>
        <item m="1" x="4482"/>
        <item m="1" x="4749"/>
        <item m="1" x="2515"/>
        <item m="1" x="133"/>
        <item m="1" x="7052"/>
        <item m="1" x="2775"/>
        <item m="1" x="4817"/>
        <item m="1" x="2734"/>
        <item m="1" x="6074"/>
        <item m="1" x="1476"/>
        <item m="1" x="7159"/>
        <item m="1" x="5905"/>
        <item m="1" x="3632"/>
        <item m="1" x="1302"/>
        <item m="1" x="6998"/>
        <item m="1" x="5663"/>
        <item m="1" x="3425"/>
        <item m="1" x="7109"/>
        <item m="1" x="5807"/>
        <item m="1" x="3571"/>
        <item m="1" x="1241"/>
        <item m="1" x="6959"/>
        <item m="1" x="5621"/>
        <item m="1" x="5463"/>
        <item m="1" x="3220"/>
        <item m="1" x="5165"/>
        <item m="1" x="4424"/>
        <item m="1" x="2127"/>
        <item m="1" x="7766"/>
        <item m="1" x="4751"/>
        <item m="1" x="1636"/>
        <item m="1" x="7330"/>
        <item m="1" x="6066"/>
        <item m="1" x="3757"/>
        <item m="1" x="1440"/>
        <item m="1" x="7125"/>
        <item m="1" x="1642"/>
        <item m="1" x="7341"/>
        <item m="1" x="6069"/>
        <item m="1" x="4440"/>
        <item m="1" x="2161"/>
        <item m="1" x="7783"/>
        <item m="1" x="6191"/>
        <item m="1" x="7869"/>
        <item m="1" x="4298"/>
        <item m="1" x="2026"/>
        <item m="1" x="7691"/>
        <item m="1" x="6766"/>
        <item m="1" x="5442"/>
        <item m="1" x="3202"/>
        <item m="1" x="6881"/>
        <item m="1" x="5544"/>
        <item m="1" x="3794"/>
        <item m="1" x="4846"/>
        <item m="1" x="7812"/>
        <item m="1" x="3910"/>
        <item m="1" x="2184"/>
        <item m="1" x="7806"/>
        <item m="1" x="6286"/>
        <item m="1" x="4021"/>
        <item m="1" x="5137"/>
        <item m="1" x="3160"/>
        <item m="1" x="786"/>
        <item m="1" x="7754"/>
        <item m="1" x="7826"/>
        <item m="1" x="4246"/>
        <item m="1" x="1969"/>
        <item m="1" x="7639"/>
        <item m="1" x="6310"/>
        <item m="1" x="4046"/>
        <item m="1" x="7434"/>
        <item m="1" x="2411"/>
        <item m="1" x="49"/>
        <item m="1" x="482"/>
        <item m="1" x="5268"/>
        <item m="1" x="2999"/>
        <item m="1" x="291"/>
        <item m="1" x="4705"/>
        <item m="1" x="2454"/>
        <item m="1" x="1449"/>
        <item m="1" x="3998"/>
        <item m="1" x="1699"/>
        <item m="1" x="5113"/>
        <item m="1" x="5928"/>
        <item m="1" x="3637"/>
        <item m="1" x="3785"/>
        <item m="1" x="1480"/>
        <item m="1" x="7885"/>
        <item m="1" x="5170"/>
        <item m="1" x="5629"/>
        <item m="1" x="5579"/>
        <item m="1" x="1456"/>
        <item m="1" x="7136"/>
        <item m="1" x="5875"/>
        <item m="1" x="3616"/>
        <item m="1" x="4350"/>
        <item m="1" x="2064"/>
        <item m="1" x="7727"/>
        <item m="1" x="5628"/>
        <item m="1" x="2545"/>
        <item m="1" x="4680"/>
        <item m="1" x="59"/>
        <item m="1" x="513"/>
        <item m="1" x="5610"/>
        <item m="1" x="3362"/>
        <item m="1" x="836"/>
        <item m="1" x="3862"/>
        <item m="1" x="1545"/>
        <item m="1" x="7381"/>
        <item m="1" x="5031"/>
        <item m="1" x="1508"/>
        <item m="1" x="3464"/>
        <item m="1" x="1299"/>
        <item m="1" x="3687"/>
        <item m="1" x="1372"/>
        <item m="1" x="5614"/>
        <item m="1" x="6155"/>
        <item m="1" x="7199"/>
        <item m="1" x="5953"/>
        <item m="1" x="3647"/>
        <item m="1" x="1321"/>
        <item m="1" x="7023"/>
        <item m="1" x="5699"/>
        <item m="1" x="7718"/>
        <item m="1" x="4104"/>
        <item m="1" x="1820"/>
        <item m="1" x="7252"/>
        <item m="1" x="6000"/>
        <item m="1" x="4608"/>
        <item m="1" x="2344"/>
        <item m="1" x="7973"/>
        <item m="1" x="2077"/>
        <item m="1" x="2118"/>
        <item m="1" x="7527"/>
        <item m="1" x="4229"/>
        <item m="1" x="6712"/>
        <item m="1" x="5393"/>
        <item m="1" x="3148"/>
        <item m="1" x="778"/>
        <item m="1" x="6690"/>
        <item m="1" x="5748"/>
        <item m="1" x="4468"/>
        <item m="1" x="2188"/>
        <item m="1" x="7809"/>
        <item m="1" x="4495"/>
        <item m="1" x="2212"/>
        <item m="1" x="4742"/>
        <item m="1" x="2511"/>
        <item m="1" x="129"/>
        <item m="1" x="165"/>
        <item m="1" x="4600"/>
        <item m="1" x="2332"/>
        <item m="1" x="7964"/>
        <item m="1" x="6560"/>
        <item m="1" x="7257"/>
        <item m="1" x="6014"/>
        <item m="1" x="3696"/>
        <item m="1" x="1378"/>
        <item m="1" x="4879"/>
        <item m="1" x="2643"/>
        <item m="1" x="282"/>
        <item m="1" x="4697"/>
        <item m="1" x="2440"/>
        <item m="1" x="5510"/>
        <item m="1" x="3267"/>
        <item m="1" x="931"/>
        <item m="1" x="6638"/>
        <item m="1" x="5347"/>
        <item m="1" x="3088"/>
        <item m="1" x="718"/>
        <item m="1" x="5157"/>
        <item m="1" x="7028"/>
        <item m="1" x="5706"/>
        <item m="1" x="832"/>
        <item m="1" x="6554"/>
        <item m="1" x="5277"/>
        <item m="1" x="3009"/>
        <item m="1" x="636"/>
        <item m="1" x="680"/>
        <item m="1" x="7851"/>
        <item m="1" x="4280"/>
        <item m="1" x="2007"/>
        <item m="1" x="7711"/>
        <item m="1" x="1024"/>
        <item m="1" x="6730"/>
        <item m="1" x="5411"/>
        <item m="1" x="3167"/>
        <item m="1" x="798"/>
        <item m="1" x="6519"/>
        <item m="1" x="5109"/>
        <item m="1" x="2874"/>
        <item m="1" x="509"/>
        <item m="1" x="4923"/>
        <item m="1" x="6915"/>
        <item m="1" x="4736"/>
        <item m="1" x="2501"/>
        <item m="1" x="4372"/>
        <item m="1" x="2557"/>
        <item m="1" x="189"/>
        <item m="1" x="4622"/>
        <item m="1" x="2363"/>
        <item m="1" x="7991"/>
        <item m="1" x="4457"/>
        <item m="1" x="4647"/>
        <item m="1" x="2389"/>
        <item m="1" x="26"/>
        <item m="1" x="4470"/>
        <item m="1" x="3775"/>
        <item m="1" x="657"/>
        <item m="1" x="5069"/>
        <item m="1" x="2848"/>
        <item m="1" x="481"/>
        <item m="1" x="7071"/>
        <item m="1" x="5760"/>
        <item m="1" x="3515"/>
        <item m="1" x="1185"/>
        <item m="1" x="6917"/>
        <item m="1" x="5581"/>
        <item m="1" x="2758"/>
        <item m="1" x="383"/>
        <item m="1" x="4787"/>
        <item m="1" x="2551"/>
        <item m="1" x="182"/>
        <item m="1" x="3100"/>
        <item m="1" x="728"/>
        <item m="1" x="5172"/>
        <item m="1" x="2917"/>
        <item m="1" x="7717"/>
        <item m="1" x="4102"/>
        <item m="1" x="1817"/>
        <item m="1" x="7492"/>
        <item m="1" x="2101"/>
        <item m="1" x="7747"/>
        <item m="1" x="4150"/>
        <item m="1" x="1890"/>
        <item m="1" x="1289"/>
        <item m="1" x="1539"/>
        <item m="1" x="5527"/>
        <item m="1" x="3285"/>
        <item m="1" x="952"/>
        <item m="1" x="6655"/>
        <item m="1" x="5357"/>
        <item m="1" x="687"/>
        <item m="1" x="3171"/>
        <item m="1" x="6533"/>
        <item m="1" x="2985"/>
        <item m="1" x="607"/>
        <item m="1" x="4995"/>
        <item m="1" x="2783"/>
        <item m="1" x="7971"/>
        <item m="1" x="4429"/>
        <item m="1" x="2136"/>
        <item m="1" x="391"/>
        <item m="1" x="5940"/>
        <item m="1" x="2717"/>
        <item m="1" x="1348"/>
        <item m="1" x="3337"/>
        <item m="1" x="1026"/>
        <item m="1" x="6652"/>
        <item m="1" x="5356"/>
        <item m="1" x="6705"/>
        <item m="1" x="5388"/>
        <item m="1" x="2802"/>
        <item m="1" x="439"/>
        <item m="1" x="4834"/>
        <item m="1" x="2234"/>
        <item m="1" x="4288"/>
        <item m="1" x="2018"/>
        <item m="1" x="3871"/>
        <item m="1" x="3964"/>
        <item m="1" x="4405"/>
        <item m="1" x="4151"/>
        <item m="1" x="7166"/>
        <item m="1" x="4348"/>
        <item m="1" x="4490"/>
        <item m="1" x="3280"/>
        <item m="1" x="3627"/>
        <item m="1" x="884"/>
        <item m="1" x="1196"/>
        <item m="1" x="6862"/>
        <item m="1" x="5523"/>
        <item m="1" x="6808"/>
        <item m="1" x="5475"/>
        <item m="1" x="3227"/>
        <item m="1" x="6592"/>
        <item m="1" x="4012"/>
        <item m="1" x="3281"/>
        <item m="1" x="3163"/>
        <item m="1" x="4620"/>
        <item m="1" x="2360"/>
        <item m="1" x="548"/>
        <item m="1" x="1463"/>
        <item m="1" x="7148"/>
        <item m="1" x="5893"/>
        <item m="1" x="1292"/>
        <item m="1" x="6993"/>
        <item m="1" x="5656"/>
        <item m="1" x="7700"/>
        <item m="1" x="6698"/>
        <item m="1" x="5451"/>
        <item m="1" x="2172"/>
        <item m="1" x="7796"/>
        <item m="1" x="1362"/>
        <item m="1" x="7050"/>
        <item m="1" x="5737"/>
        <item m="1" x="4739"/>
        <item m="1" x="2508"/>
        <item m="1" x="126"/>
        <item m="1" x="4571"/>
        <item m="1" x="2294"/>
        <item m="1" x="7933"/>
        <item m="1" x="4382"/>
        <item m="1" x="1442"/>
        <item m="1" x="1546"/>
        <item m="1" x="7254"/>
        <item m="1" x="486"/>
        <item m="1" x="4863"/>
        <item m="1" x="4667"/>
        <item m="1" x="2410"/>
        <item m="1" x="48"/>
        <item m="1" x="4500"/>
        <item m="1" x="470"/>
        <item m="1" x="6683"/>
        <item m="1" x="1220"/>
        <item m="1" x="5607"/>
        <item m="1" x="3358"/>
        <item m="1" x="1053"/>
        <item m="1" x="6756"/>
        <item m="1" x="7186"/>
        <item m="1" x="5685"/>
        <item m="1" x="7294"/>
        <item m="1" x="6514"/>
        <item m="1" x="5242"/>
        <item m="1" x="2975"/>
        <item m="1" x="5772"/>
        <item m="1" x="5551"/>
        <item m="1" x="4143"/>
        <item m="1" x="7833"/>
        <item m="1" x="4261"/>
        <item m="1" x="5456"/>
        <item m="1" x="3212"/>
        <item m="1" x="865"/>
        <item m="1" x="5294"/>
        <item m="1" x="3026"/>
        <item m="1" x="652"/>
        <item m="1" x="1373"/>
        <item m="1" x="7064"/>
        <item m="1" x="5751"/>
        <item m="1" x="4814"/>
        <item m="1" x="2569"/>
        <item m="1" x="203"/>
        <item m="1" x="3656"/>
        <item m="1" x="1328"/>
        <item m="1" x="7031"/>
        <item m="1" x="5712"/>
        <item m="1" x="3690"/>
        <item m="1" x="6991"/>
        <item m="1" x="1906"/>
        <item m="1" x="3486"/>
        <item m="1" x="1149"/>
        <item m="1" x="6884"/>
        <item m="1" x="5546"/>
        <item m="1" x="974"/>
        <item m="1" x="3838"/>
        <item m="1" x="7227"/>
        <item m="1" x="472"/>
        <item m="1" x="401"/>
        <item m="1" x="2352"/>
        <item m="1" x="7982"/>
        <item m="1" x="4434"/>
        <item m="1" x="5724"/>
        <item m="1" x="7977"/>
        <item m="1" x="5196"/>
        <item m="1" x="2931"/>
        <item m="1" x="564"/>
        <item m="1" x="1574"/>
        <item m="1" x="7274"/>
        <item m="1" x="6028"/>
        <item m="1" x="3712"/>
        <item m="1" x="1720"/>
        <item m="1" x="7015"/>
        <item m="1" x="3214"/>
        <item m="1" x="654"/>
        <item m="1" x="5061"/>
        <item m="1" x="781"/>
        <item m="1" x="2744"/>
        <item m="1" x="365"/>
        <item m="1" x="4694"/>
        <item m="1" x="2435"/>
        <item m="1" x="76"/>
        <item m="1" x="4530"/>
        <item m="1" x="1945"/>
        <item m="1" x="3929"/>
        <item m="1" x="1624"/>
        <item m="1" x="7313"/>
        <item m="1" x="6060"/>
        <item m="1" x="3752"/>
        <item m="1" x="1435"/>
        <item m="1" x="4141"/>
        <item m="1" x="6856"/>
        <item m="1" x="7145"/>
        <item m="1" x="949"/>
        <item m="1" x="6653"/>
        <item m="1" x="2730"/>
        <item m="1" x="6076"/>
        <item m="1" x="3766"/>
        <item m="1" x="1451"/>
        <item m="1" x="7133"/>
        <item m="1" x="659"/>
        <item m="1" x="5073"/>
        <item m="1" x="2849"/>
        <item m="1" x="5040"/>
        <item m="1" x="2822"/>
        <item m="1" x="456"/>
        <item m="1" x="6726"/>
        <item m="1" x="5408"/>
        <item m="1" x="794"/>
        <item m="1" x="6517"/>
        <item m="1" x="1747"/>
        <item m="1" x="7433"/>
        <item m="1" x="4721"/>
        <item m="1" x="6494"/>
        <item m="1" x="5226"/>
        <item m="1" x="2957"/>
        <item m="1" x="585"/>
        <item m="1" x="4964"/>
        <item m="1" x="3329"/>
        <item m="1" x="1015"/>
        <item m="1" x="5400"/>
        <item m="1" x="5693"/>
        <item m="1" x="3458"/>
        <item m="1" x="1128"/>
        <item m="1" x="5511"/>
        <item m="1" x="3269"/>
        <item m="1" x="6717"/>
        <item m="1" x="3152"/>
        <item m="1" x="2701"/>
        <item m="1" x="325"/>
        <item m="1" x="5173"/>
        <item m="1" x="5198"/>
        <item m="1" x="4266"/>
        <item m="1" x="1990"/>
        <item m="1" x="5328"/>
        <item m="1" x="702"/>
        <item m="1" x="5139"/>
        <item m="1" x="6502"/>
        <item m="1" x="5232"/>
        <item m="1" x="2967"/>
        <item m="1" x="592"/>
        <item m="1" x="4970"/>
        <item m="1" x="1022"/>
        <item m="1" x="5538"/>
        <item m="1" x="3297"/>
        <item m="1" x="965"/>
        <item m="1" x="6667"/>
        <item m="1" x="3114"/>
        <item m="1" x="3783"/>
        <item m="1" x="1477"/>
        <item m="1" x="7160"/>
        <item m="1" x="7067"/>
        <item m="1" x="4813"/>
        <item m="1" x="601"/>
        <item m="1" x="4988"/>
        <item m="1" x="4610"/>
        <item m="1" x="2349"/>
        <item m="1" x="7980"/>
        <item m="1" x="4432"/>
        <item m="1" x="2142"/>
        <item m="1" x="2918"/>
        <item m="1" x="551"/>
        <item m="1" x="2937"/>
        <item m="1" x="2088"/>
        <item m="1" x="1305"/>
        <item m="1" x="7003"/>
        <item m="1" x="5667"/>
        <item m="1" x="3427"/>
        <item m="1" x="1109"/>
        <item m="1" x="3797"/>
        <item m="1" x="561"/>
        <item m="1" x="824"/>
        <item m="1" x="674"/>
        <item m="1" x="7846"/>
        <item m="1" x="3559"/>
        <item m="1" x="1234"/>
        <item m="1" x="6954"/>
        <item m="1" x="2076"/>
        <item m="1" x="3507"/>
        <item m="1" x="2738"/>
        <item m="1" x="271"/>
        <item m="1" x="7465"/>
        <item m="1" x="6172"/>
        <item m="1" x="3877"/>
        <item m="1" x="1566"/>
        <item m="1" x="187"/>
        <item m="1" x="7342"/>
        <item m="1" x="6071"/>
        <item m="1" x="3762"/>
        <item m="1" x="1445"/>
        <item m="1" x="7130"/>
        <item m="1" x="7378"/>
        <item m="1" x="6098"/>
        <item m="1" x="3795"/>
        <item m="1" x="1493"/>
        <item m="1" x="268"/>
        <item m="1" x="4685"/>
        <item m="1" x="3081"/>
        <item m="1" x="711"/>
        <item m="1" x="5150"/>
        <item m="1" x="4845"/>
        <item m="1" x="2522"/>
        <item m="1" x="147"/>
        <item m="1" x="4584"/>
        <item m="1" x="2311"/>
        <item m="1" x="7949"/>
        <item m="1" x="4401"/>
        <item m="1" x="2111"/>
        <item m="1" x="4954"/>
        <item m="1" x="2746"/>
        <item m="1" x="367"/>
        <item m="1" x="4243"/>
        <item m="1" x="1964"/>
        <item m="1" x="7633"/>
        <item m="1" x="6308"/>
        <item m="1" x="4042"/>
        <item m="1" x="1746"/>
        <item m="1" x="7430"/>
        <item m="1" x="6141"/>
        <item m="1" x="3834"/>
        <item m="1" x="7143"/>
        <item m="1" x="4555"/>
        <item m="1" x="2068"/>
        <item m="1" x="4509"/>
        <item m="1" x="2222"/>
        <item m="1" x="3547"/>
        <item m="1" x="6482"/>
        <item m="1" x="5213"/>
        <item m="1" x="2950"/>
        <item m="1" x="631"/>
        <item m="1" x="3164"/>
        <item m="1" x="578"/>
        <item m="1" x="3744"/>
        <item m="1" x="1381"/>
        <item m="1" x="807"/>
        <item m="1" x="5257"/>
        <item m="1" x="5602"/>
        <item m="1" x="4607"/>
        <item m="1" x="2341"/>
        <item m="1" x="4795"/>
        <item m="1" x="6088"/>
        <item m="1" x="3777"/>
        <item m="1" x="1470"/>
        <item m="1" x="7151"/>
        <item m="1" x="5896"/>
        <item m="1" x="5375"/>
        <item m="1" x="3127"/>
        <item m="1" x="755"/>
        <item m="1" x="6615"/>
        <item m="1" x="5323"/>
        <item m="1" x="4533"/>
        <item m="1" x="2248"/>
        <item m="1" x="7874"/>
        <item m="1" x="4309"/>
        <item m="1" x="2035"/>
        <item m="1" x="7697"/>
        <item m="1" x="6342"/>
        <item m="1" x="2990"/>
        <item m="1" x="611"/>
        <item m="1" x="4999"/>
        <item m="1" x="2786"/>
        <item m="1" x="426"/>
        <item m="1" x="4821"/>
        <item m="1" x="5848"/>
        <item m="1" x="3598"/>
        <item m="1" x="1972"/>
        <item m="1" x="7644"/>
        <item m="1" x="7437"/>
        <item m="1" x="6146"/>
        <item m="1" x="3845"/>
        <item m="1" x="1530"/>
        <item m="1" x="4504"/>
        <item m="1" x="5339"/>
        <item m="1" x="5557"/>
        <item m="1" x="3310"/>
        <item m="1" x="1134"/>
        <item m="1" x="5611"/>
        <item m="1" x="837"/>
        <item m="1" x="6556"/>
        <item m="1" x="5280"/>
        <item m="1" x="2159"/>
        <item m="1" x="2228"/>
        <item m="1" x="7850"/>
        <item m="1" x="4277"/>
        <item m="1" x="2004"/>
        <item m="1" x="7673"/>
        <item m="1" x="2452"/>
        <item m="1" x="3489"/>
        <item m="1" x="1153"/>
        <item m="1" x="1111"/>
        <item m="1" x="6833"/>
        <item m="1" x="3000"/>
        <item m="1" x="623"/>
        <item m="1" x="1331"/>
        <item m="1" x="7032"/>
        <item m="1" x="5713"/>
        <item m="1" x="3287"/>
        <item m="1" x="956"/>
        <item m="1" x="3829"/>
        <item m="1" x="3030"/>
        <item m="1" x="4833"/>
        <item m="1" x="7797"/>
        <item m="1" x="6193"/>
        <item m="1" x="3309"/>
        <item m="1" x="986"/>
        <item m="1" x="6687"/>
        <item m="1" x="5376"/>
        <item m="1" x="3028"/>
        <item m="1" x="2995"/>
        <item m="1" x="4184"/>
        <item m="1" x="1920"/>
        <item m="1" x="6931"/>
        <item m="1" x="5589"/>
        <item m="1" x="4773"/>
        <item m="1" x="3467"/>
        <item m="1" x="1129"/>
        <item m="1" x="3836"/>
        <item m="1" x="7529"/>
        <item m="1" x="6218"/>
        <item m="1" x="7169"/>
        <item m="1" x="6659"/>
        <item m="1" x="5360"/>
        <item m="1" x="3636"/>
        <item m="1" x="1307"/>
        <item m="1" x="6453"/>
        <item m="1" x="5183"/>
        <item m="1" x="2924"/>
        <item m="1" x="555"/>
        <item m="1" x="331"/>
        <item m="1" x="3022"/>
        <item m="1" x="1029"/>
        <item m="1" x="6736"/>
        <item m="1" x="2655"/>
        <item m="1" x="1459"/>
        <item m="1" x="7142"/>
        <item m="1" x="3889"/>
        <item m="1" x="1586"/>
        <item m="1" x="3224"/>
        <item m="1" x="765"/>
        <item m="1" x="6057"/>
        <item m="1" x="3068"/>
        <item m="1" x="3887"/>
        <item m="1" x="5686"/>
        <item m="1" x="1120"/>
        <item m="1" x="6848"/>
        <item m="1" x="5501"/>
        <item m="1" x="3262"/>
        <item m="1" x="7694"/>
        <item m="1" x="6119"/>
        <item m="1" x="4307"/>
        <item m="1" x="3898"/>
        <item m="1" x="1415"/>
        <item m="1" x="7102"/>
        <item m="1" x="7733"/>
        <item m="1" x="4849"/>
        <item m="1" x="7208"/>
        <item m="1" x="4561"/>
        <item m="1" x="2284"/>
        <item m="1" x="7919"/>
        <item m="1" x="4634"/>
        <item m="1" x="6532"/>
        <item m="1" x="2047"/>
        <item m="1" x="292"/>
        <item m="1" x="5881"/>
        <item m="1" x="3643"/>
        <item m="1" x="1315"/>
        <item m="1" x="7016"/>
        <item m="1" x="7556"/>
        <item m="1" x="5052"/>
        <item m="1" x="2839"/>
        <item m="1" x="1133"/>
        <item m="1" x="6867"/>
        <item m="1" x="5524"/>
        <item m="1" x="3282"/>
        <item m="1" x="950"/>
        <item m="1" x="2790"/>
        <item m="1" x="429"/>
        <item m="1" x="6761"/>
        <item m="1" x="6780"/>
        <item m="1" x="6144"/>
        <item m="1" x="3841"/>
        <item m="1" x="6045"/>
        <item m="1" x="3735"/>
        <item m="1" x="2625"/>
        <item m="1" x="6832"/>
        <item m="1" x="5486"/>
        <item m="1" x="3242"/>
        <item m="1" x="3956"/>
        <item m="1" x="5003"/>
        <item m="1" x="215"/>
        <item m="1" x="2029"/>
        <item m="1" x="7692"/>
        <item m="1" x="6339"/>
        <item m="1" x="4084"/>
        <item m="1" x="1793"/>
        <item m="1" x="7469"/>
        <item m="1" x="4537"/>
        <item m="1" x="2260"/>
        <item m="1" x="7884"/>
        <item m="1" x="4325"/>
        <item m="1" x="2048"/>
        <item m="1" x="7710"/>
        <item m="1" x="2670"/>
        <item m="1" x="304"/>
        <item m="1" x="4718"/>
        <item m="1" x="2472"/>
        <item m="1" x="99"/>
        <item m="1" x="4545"/>
        <item m="1" x="2273"/>
        <item m="1" x="7902"/>
        <item m="1" x="2904"/>
        <item m="1" x="537"/>
        <item m="1" x="4914"/>
        <item m="1" x="4702"/>
        <item m="1" x="4580"/>
        <item m="1" x="2302"/>
        <item m="1" x="7943"/>
        <item m="1" x="3496"/>
        <item m="1" x="1522"/>
        <item m="1" x="1339"/>
        <item m="1" x="4245"/>
        <item m="1" x="5702"/>
        <item m="1" x="3468"/>
        <item m="1" x="1131"/>
        <item m="1" x="3409"/>
        <item m="1" x="1099"/>
        <item m="1" x="6816"/>
        <item m="1" x="7745"/>
        <item m="1" x="4146"/>
        <item m="1" x="1879"/>
        <item m="1" x="5563"/>
        <item m="1" x="1135"/>
        <item m="1" x="6872"/>
        <item m="1" x="5530"/>
        <item m="1" x="3291"/>
        <item m="1" x="960"/>
        <item m="1" x="6663"/>
        <item m="1" x="5362"/>
        <item m="1" x="3107"/>
        <item m="1" x="737"/>
        <item m="1" x="3665"/>
        <item m="1" x="1345"/>
        <item m="1" x="7040"/>
        <item m="1" x="4709"/>
        <item m="1" x="2459"/>
        <item m="1" x="90"/>
        <item m="1" x="4540"/>
        <item m="1" x="2262"/>
        <item m="1" x="7886"/>
        <item m="1" x="2894"/>
        <item m="1" x="524"/>
        <item m="1" x="703"/>
        <item m="1" x="3283"/>
        <item m="1" x="2617"/>
        <item m="1" x="251"/>
        <item m="1" x="4461"/>
        <item m="1" x="2179"/>
        <item m="1" x="7802"/>
        <item m="1" x="5531"/>
        <item m="1" x="3292"/>
        <item m="1" x="6104"/>
        <item m="1" x="6113"/>
        <item m="1" x="2619"/>
        <item m="1" x="5808"/>
        <item m="1" x="3572"/>
        <item m="1" x="5817"/>
        <item m="1" x="3580"/>
        <item m="1" x="6777"/>
        <item m="1" x="5454"/>
        <item m="1" x="7324"/>
        <item m="1" x="5838"/>
        <item m="1" x="3590"/>
        <item m="1" x="1261"/>
        <item m="1" x="649"/>
        <item m="1" x="5051"/>
        <item m="1" x="464"/>
        <item m="1" x="4854"/>
        <item m="1" x="4235"/>
        <item m="1" x="5580"/>
        <item m="1" x="1818"/>
        <item m="1" x="7493"/>
        <item m="1" x="3711"/>
        <item m="1" x="644"/>
        <item m="1" x="6834"/>
        <item m="1" x="5489"/>
        <item m="1" x="3034"/>
        <item m="1" x="660"/>
        <item m="1" x="5074"/>
        <item m="1" x="2850"/>
        <item m="1" x="485"/>
        <item m="1" x="1094"/>
        <item m="1" x="6809"/>
        <item m="1" x="5476"/>
        <item m="1" x="5931"/>
        <item m="1" x="6125"/>
        <item m="1" x="3821"/>
        <item m="1" x="3038"/>
        <item m="1" x="663"/>
        <item m="1" x="5080"/>
        <item m="1" x="2854"/>
        <item m="1" x="489"/>
        <item m="1" x="4868"/>
        <item m="1" x="6813"/>
        <item m="1" x="5479"/>
        <item m="1" x="2259"/>
        <item m="1" x="7883"/>
        <item m="1" x="4321"/>
        <item m="1" x="2044"/>
        <item m="1" x="5276"/>
        <item m="1" x="3007"/>
        <item m="1" x="635"/>
        <item m="1" x="5025"/>
        <item m="1" x="2807"/>
        <item m="1" x="441"/>
        <item m="1" x="4840"/>
        <item m="1" x="6772"/>
        <item m="1" x="5449"/>
        <item m="1" x="3205"/>
        <item m="1" x="851"/>
        <item m="1" x="6572"/>
        <item m="1" x="5286"/>
        <item m="1" x="3018"/>
        <item m="1" x="646"/>
        <item m="1" x="1809"/>
        <item m="1" x="7484"/>
        <item m="1" x="7483"/>
        <item m="1" x="3346"/>
        <item m="1" x="5422"/>
        <item m="1" x="3172"/>
        <item m="1" x="810"/>
        <item m="1" x="7665"/>
        <item m="1" x="142"/>
        <item m="1" x="3705"/>
        <item m="1" x="1387"/>
        <item m="1" x="2124"/>
        <item m="1" x="450"/>
        <item m="1" x="4848"/>
        <item m="1" x="2609"/>
        <item m="1" x="239"/>
        <item m="1" x="1013"/>
        <item m="1" x="6711"/>
        <item m="1" x="5392"/>
        <item m="1" x="2438"/>
        <item m="1" x="78"/>
        <item m="1" x="3198"/>
        <item m="1" x="844"/>
        <item m="1" x="7398"/>
        <item m="1" x="6110"/>
        <item m="1" x="3806"/>
        <item m="1" x="7505"/>
        <item m="1" x="6197"/>
        <item m="1" x="6608"/>
        <item m="1" x="5318"/>
        <item m="1" x="3056"/>
        <item m="1" x="1782"/>
        <item m="1" x="7463"/>
        <item m="1" x="6167"/>
        <item m="1" x="4311"/>
        <item m="1" x="1789"/>
        <item m="1" x="7468"/>
        <item m="1" x="6176"/>
        <item m="1" x="3878"/>
        <item m="1" x="2350"/>
        <item m="1" x="89"/>
        <item m="1" x="4539"/>
        <item m="1" x="112"/>
        <item m="1" x="4562"/>
        <item m="1" x="2286"/>
        <item m="1" x="4756"/>
        <item m="1" x="2520"/>
        <item m="1" x="145"/>
        <item m="1" x="2428"/>
        <item m="1" x="70"/>
        <item m="1" x="2763"/>
        <item m="1" x="398"/>
        <item m="1" x="2373"/>
        <item m="1" x="4617"/>
        <item m="1" x="5849"/>
        <item m="1" x="3599"/>
        <item m="1" x="5245"/>
        <item m="1" x="975"/>
        <item m="1" x="6678"/>
        <item m="1" x="6704"/>
        <item m="1" x="5387"/>
        <item m="1" x="4053"/>
        <item m="1" x="5295"/>
        <item m="1" x="5873"/>
        <item m="1" x="3615"/>
        <item m="1" x="1281"/>
        <item m="1" x="4706"/>
        <item m="1" x="2457"/>
        <item m="1" x="4587"/>
        <item m="1" x="2315"/>
        <item m="1" x="7951"/>
        <item m="1" x="4408"/>
        <item m="1" x="787"/>
        <item m="1" x="4707"/>
        <item m="1" x="2458"/>
        <item m="1" x="2735"/>
        <item m="1" x="351"/>
        <item m="1" x="1310"/>
        <item m="1" x="7540"/>
        <item m="1" x="6224"/>
        <item m="1" x="2997"/>
        <item m="1" x="621"/>
        <item m="1" x="5016"/>
        <item m="1" x="2797"/>
        <item m="1" x="434"/>
        <item m="1" x="5439"/>
        <item m="1" x="2246"/>
        <item m="1" x="1571"/>
        <item m="1" x="843"/>
        <item m="1" x="6562"/>
        <item m="1" x="7403"/>
        <item m="1" x="5948"/>
        <item m="1" x="1622"/>
        <item m="1" x="53"/>
        <item m="1" x="1995"/>
        <item m="1" x="2162"/>
        <item m="1" x="7784"/>
        <item m="1" x="7508"/>
        <item m="1" x="3713"/>
        <item m="1" x="6219"/>
        <item m="1" x="3930"/>
        <item m="1" x="5394"/>
        <item m="1" x="2791"/>
        <item m="1" x="430"/>
        <item m="1" x="1924"/>
        <item m="1" x="6096"/>
        <item m="1" x="17"/>
        <item m="1" x="2896"/>
        <item m="1" x="527"/>
        <item m="1" x="5151"/>
        <item m="1" x="2906"/>
        <item m="1" x="4087"/>
        <item m="1" x="6907"/>
        <item m="1" x="4640"/>
        <item m="1" x="2381"/>
        <item m="1" x="4466"/>
        <item m="1" x="2185"/>
        <item m="1" x="7807"/>
        <item m="1" x="4637"/>
        <item m="1" x="6343"/>
        <item m="1" x="1172"/>
        <item m="1" x="435"/>
        <item m="1" x="1303"/>
        <item m="1" x="5140"/>
        <item m="1" x="712"/>
        <item m="1" x="540"/>
        <item m="1" x="6859"/>
        <item m="1" x="5516"/>
        <item m="1" x="7934"/>
        <item m="1" x="2523"/>
        <item m="1" x="5680"/>
        <item m="1" x="6035"/>
        <item m="1" x="3718"/>
        <item m="1" x="643"/>
        <item m="1" x="1369"/>
        <item m="1" x="7062"/>
        <item m="1" x="3504"/>
        <item m="1" x="5571"/>
        <item m="1" x="148"/>
        <item m="1" x="5123"/>
        <item m="1" x="2884"/>
        <item m="1" x="517"/>
        <item m="1" x="4312"/>
        <item m="1" x="2036"/>
        <item m="1" x="7698"/>
        <item m="1" x="5837"/>
        <item m="1" x="3589"/>
        <item m="1" x="5861"/>
        <item m="1" x="3608"/>
        <item m="1" x="1275"/>
        <item m="1" x="6983"/>
        <item m="1" x="5647"/>
        <item m="1" x="3397"/>
        <item m="1" x="1396"/>
        <item m="1" x="5285"/>
        <item m="1" x="3017"/>
        <item m="1" x="1324"/>
        <item m="1" x="3684"/>
        <item m="1" x="5749"/>
        <item m="1" x="3765"/>
        <item m="1" x="4334"/>
        <item m="1" x="1677"/>
        <item m="1" x="7008"/>
        <item m="1" x="5673"/>
        <item m="1" x="3439"/>
        <item m="1" x="1115"/>
        <item m="1" x="5640"/>
        <item m="1" x="3868"/>
        <item m="1" x="1228"/>
        <item m="1" x="5416"/>
        <item m="1" x="6526"/>
        <item m="1" x="1917"/>
        <item m="1" x="4591"/>
        <item m="1" x="4268"/>
        <item m="1" x="1992"/>
        <item m="1" x="4962"/>
        <item m="1" x="2755"/>
        <item m="1" x="2973"/>
        <item m="1" x="932"/>
        <item m="1" x="6640"/>
        <item m="1" x="5845"/>
        <item m="1" x="3595"/>
        <item m="1" x="6616"/>
        <item m="1" x="5324"/>
        <item m="1" x="3064"/>
        <item m="1" x="699"/>
        <item m="1" x="5133"/>
        <item m="1" x="4493"/>
        <item m="1" x="2210"/>
        <item m="1" x="7830"/>
        <item m="1" x="4030"/>
        <item m="1" x="1735"/>
        <item m="1" x="7418"/>
        <item m="1" x="6132"/>
        <item m="1" x="3827"/>
        <item m="1" x="1521"/>
        <item m="1" x="5816"/>
        <item m="1" x="3578"/>
        <item m="1" x="1247"/>
        <item m="1" x="6964"/>
        <item m="1" x="5630"/>
        <item m="1" x="3381"/>
        <item m="1" x="7323"/>
        <item m="1" x="4244"/>
        <item m="1" x="1967"/>
        <item m="1" x="7636"/>
        <item m="1" x="6309"/>
        <item m="1" x="4044"/>
        <item m="1" x="2089"/>
        <item m="1" x="7741"/>
        <item m="1" x="4137"/>
        <item m="1" x="4623"/>
        <item m="1" x="1452"/>
        <item m="1" x="7134"/>
        <item m="1" x="5868"/>
        <item m="1" x="3614"/>
        <item m="1" x="1279"/>
        <item m="1" x="6985"/>
        <item m="1" x="7583"/>
        <item m="1" x="4005"/>
        <item m="1" x="1921"/>
        <item m="1" x="7578"/>
        <item m="1" x="1853"/>
        <item m="1" x="7521"/>
        <item m="1" x="6213"/>
        <item m="1" x="3926"/>
        <item m="1" x="1617"/>
        <item m="1" x="3423"/>
        <item m="1" x="2399"/>
        <item m="1" x="4322"/>
        <item m="1" x="2045"/>
        <item m="1" x="2543"/>
        <item m="1" x="170"/>
        <item m="1" x="2338"/>
        <item m="1" x="7970"/>
        <item m="1" x="4253"/>
        <item m="1" x="1976"/>
        <item m="1" x="6921"/>
        <item m="1" x="4597"/>
        <item m="1" x="5014"/>
        <item m="1" x="4871"/>
        <item m="1" x="4659"/>
        <item m="1" x="2405"/>
        <item m="1" x="41"/>
        <item m="1" x="4487"/>
        <item m="1" x="437"/>
        <item m="1" x="2105"/>
        <item m="1" x="7750"/>
        <item m="1" x="4154"/>
        <item m="1" x="1895"/>
        <item m="1" x="893"/>
        <item m="1" x="55"/>
        <item m="1" x="65"/>
        <item m="1" x="7242"/>
        <item m="1" x="4062"/>
        <item m="1" x="1769"/>
        <item m="1" x="2601"/>
        <item m="1" x="235"/>
        <item m="1" x="3173"/>
        <item m="1" x="7554"/>
        <item m="1" x="6235"/>
        <item m="1" x="436"/>
        <item m="1" x="3703"/>
        <item m="1" x="1384"/>
        <item m="1" x="3932"/>
        <item m="1" x="7937"/>
        <item m="1" x="5648"/>
        <item m="1" x="3533"/>
        <item m="1" x="1200"/>
        <item m="1" x="3475"/>
        <item m="1" x="6050"/>
        <item m="1" x="3742"/>
        <item m="1" x="5320"/>
        <item m="1" x="2750"/>
        <item m="1" x="1349"/>
        <item m="1" x="1701"/>
        <item m="1" x="7388"/>
        <item m="1" x="2429"/>
        <item m="1" x="71"/>
        <item m="1" x="3352"/>
        <item m="1" x="7567"/>
        <item m="1" x="6247"/>
        <item m="1" x="5478"/>
        <item m="1" x="5525"/>
        <item m="1" x="2725"/>
        <item m="1" x="342"/>
        <item m="1" x="5223"/>
        <item m="1" x="1899"/>
        <item m="1" x="3270"/>
        <item m="1" x="1269"/>
        <item m="1" x="5642"/>
        <item m="1" x="3395"/>
        <item m="1" x="6841"/>
        <item m="1" x="5497"/>
        <item m="1" x="2804"/>
        <item m="1" x="1644"/>
        <item m="1" x="1541"/>
        <item m="1" x="5774"/>
        <item m="1" x="1137"/>
        <item m="1" x="6874"/>
        <item m="1" x="5532"/>
        <item m="1" x="3293"/>
        <item m="1" x="4577"/>
        <item m="1" x="4275"/>
        <item m="1" x="6454"/>
        <item m="1" x="5126"/>
        <item m="1" x="2887"/>
        <item m="1" x="3373"/>
        <item m="1" x="4674"/>
        <item m="1" x="5992"/>
        <item m="1" x="1965"/>
        <item m="1" x="7635"/>
        <item m="1" x="6137"/>
        <item m="1" x="1941"/>
        <item m="1" x="7607"/>
        <item m="1" x="5370"/>
        <item m="1" x="3120"/>
        <item m="1" x="2317"/>
        <item m="1" x="4413"/>
        <item m="1" x="5782"/>
        <item m="1" x="3992"/>
        <item m="1" x="1696"/>
        <item m="1" x="1821"/>
        <item m="1" x="6943"/>
        <item m="1" x="6948"/>
        <item m="1" x="5608"/>
        <item m="1" x="6953"/>
        <item m="1" x="5616"/>
        <item m="1" x="6958"/>
        <item m="1" x="6598"/>
        <item m="1" x="5312"/>
        <item m="1" x="678"/>
        <item m="1" x="6254"/>
        <item m="1" x="3975"/>
        <item m="1" x="1679"/>
        <item m="1" x="5609"/>
        <item m="1" x="5536"/>
        <item m="1" x="852"/>
        <item m="1" x="7988"/>
        <item m="1" x="6161"/>
        <item m="1" x="973"/>
        <item m="1" x="1238"/>
        <item m="1" x="7723"/>
        <item m="1" x="5818"/>
        <item m="1" x="3180"/>
        <item m="1" x="7679"/>
        <item m="1" x="6327"/>
        <item m="1" x="4074"/>
        <item m="1" x="1775"/>
        <item m="1" x="7457"/>
        <item m="1" x="6160"/>
        <item m="1" x="595"/>
        <item m="1" x="433"/>
        <item m="1" x="3210"/>
        <item m="1" x="5335"/>
        <item m="1" x="5130"/>
        <item m="1" x="5582"/>
        <item m="1" x="1018"/>
        <item m="1" x="6719"/>
        <item m="1" x="5402"/>
        <item m="1" x="4305"/>
        <item m="1" x="2032"/>
        <item m="1" x="4990"/>
        <item m="1" x="2777"/>
        <item m="1" x="411"/>
        <item m="1" x="628"/>
        <item m="1" x="332"/>
        <item m="1" x="4406"/>
        <item m="1" x="2112"/>
        <item m="1" x="6744"/>
        <item m="1" x="5424"/>
        <item m="1" x="717"/>
        <item m="1" x="5155"/>
        <item m="1" x="2909"/>
        <item m="1" x="543"/>
        <item m="1" x="5522"/>
        <item m="1" x="3279"/>
        <item m="1" x="944"/>
        <item m="1" x="6649"/>
        <item m="1" x="5354"/>
        <item m="1" x="3098"/>
        <item m="1" x="726"/>
        <item m="1" x="1335"/>
        <item m="1" x="7036"/>
        <item m="1" x="5253"/>
        <item m="1" x="4038"/>
        <item m="1" x="1740"/>
        <item m="1" x="7424"/>
        <item m="1" x="6138"/>
        <item m="1" x="3830"/>
        <item m="1" x="1675"/>
        <item m="1" x="7369"/>
        <item m="1" x="3890"/>
        <item m="1" x="7680"/>
        <item m="1" x="6328"/>
        <item m="1" x="998"/>
        <item m="1" x="6699"/>
        <item m="1" x="7238"/>
        <item m="1" x="3767"/>
        <item m="1" x="1928"/>
        <item m="1" x="6273"/>
        <item m="1" x="14"/>
        <item m="1" x="4464"/>
        <item m="1" x="7774"/>
        <item m="1" x="4185"/>
        <item m="1" x="1922"/>
        <item m="1" x="7579"/>
        <item m="1" x="6266"/>
        <item m="1" x="3995"/>
        <item m="1" x="1697"/>
        <item m="1" x="4624"/>
        <item m="1" x="2365"/>
        <item m="1" x="7994"/>
        <item m="1" x="63"/>
        <item m="1" x="4519"/>
        <item m="1" x="2235"/>
        <item m="1" x="7859"/>
        <item m="1" x="4737"/>
        <item m="1" x="2502"/>
        <item m="1" x="940"/>
        <item m="1" x="6646"/>
        <item m="1" x="6105"/>
        <item m="1" x="3801"/>
        <item m="1" x="1503"/>
        <item m="1" x="890"/>
        <item m="1" x="6600"/>
        <item m="1" x="5513"/>
        <item m="1" x="3271"/>
        <item m="1" x="5521"/>
        <item m="1" x="3278"/>
        <item m="1" x="943"/>
        <item m="1" x="6648"/>
        <item m="1" x="3067"/>
        <item m="1" x="149"/>
        <item m="1" x="695"/>
        <item m="1" x="4981"/>
        <item m="1" x="2768"/>
        <item m="1" x="5004"/>
        <item m="1" x="2792"/>
        <item m="1" x="431"/>
        <item m="1" x="216"/>
        <item m="1" x="4648"/>
        <item m="1" x="6551"/>
        <item m="1" x="5274"/>
        <item m="1" x="5019"/>
        <item m="1" x="5026"/>
        <item m="1" x="1669"/>
        <item m="1" x="6085"/>
        <item m="1" x="3097"/>
        <item m="1" x="725"/>
        <item m="1" x="3226"/>
        <item m="1" x="3313"/>
        <item m="1" x="6692"/>
        <item m="1" x="5379"/>
        <item m="1" x="3135"/>
        <item m="1" x="57"/>
        <item m="1" x="4513"/>
        <item m="1" x="2227"/>
        <item m="1" x="4144"/>
        <item m="1" x="7758"/>
        <item m="1" x="1254"/>
        <item m="1" x="1915"/>
        <item m="1" x="4525"/>
        <item m="1" x="5352"/>
        <item m="1" x="3311"/>
        <item m="1" x="987"/>
        <item m="1" x="7550"/>
        <item m="1" x="5086"/>
        <item m="1" x="1632"/>
        <item m="1" x="7325"/>
        <item m="1" x="2307"/>
        <item m="1" x="7947"/>
        <item m="1" x="4974"/>
        <item m="1" x="6955"/>
        <item m="1" x="7955"/>
        <item m="1" x="93"/>
        <item m="1" x="4014"/>
        <item m="1" x="1721"/>
        <item m="1" x="7402"/>
        <item m="1" x="6118"/>
        <item m="1" x="3811"/>
        <item m="1" x="1513"/>
        <item m="1" x="3179"/>
        <item m="1" x="860"/>
        <item m="1" x="7773"/>
        <item m="1" x="5798"/>
        <item m="1" x="3560"/>
        <item m="1" x="4829"/>
        <item m="1" x="2587"/>
        <item m="1" x="221"/>
        <item m="1" x="3011"/>
        <item m="1" x="638"/>
        <item m="1" x="5032"/>
        <item m="1" x="186"/>
        <item m="1" x="5182"/>
        <item m="1" x="1085"/>
        <item m="1" x="3288"/>
        <item m="1" x="957"/>
        <item m="1" x="6660"/>
        <item m="1" x="3927"/>
        <item m="1" x="3366"/>
        <item m="1" x="7198"/>
        <item m="1" x="4183"/>
        <item m="1" x="336"/>
        <item m="1" x="4126"/>
        <item m="1" x="2629"/>
        <item m="1" x="2649"/>
        <item m="1" x="5622"/>
        <item m="1" x="5631"/>
        <item m="1" x="2891"/>
        <item m="1" x="2217"/>
        <item m="1" x="3108"/>
        <item m="1" x="7852"/>
        <item m="1" x="1376"/>
        <item m="1" x="1283"/>
        <item m="1" x="4858"/>
        <item m="1" x="4862"/>
        <item m="1" x="4870"/>
        <item m="1" x="4020"/>
        <item m="1" x="1510"/>
        <item m="1" x="1743"/>
        <item m="1" x="1389"/>
        <item m="1" x="241"/>
        <item m="1" x="4865"/>
        <item m="1" x="4890"/>
        <item m="1" x="5856"/>
        <item m="1" x="5021"/>
        <item m="1" x="5077"/>
        <item m="1" x="811"/>
        <item m="1" x="2988"/>
        <item m="1" x="2356"/>
        <item m="1" x="7119"/>
        <item m="1" x="5830"/>
        <item m="1" x="5070"/>
        <item m="1" x="5116"/>
        <item m="1" x="5135"/>
        <item m="1" x="5163"/>
        <item m="1" x="1949"/>
        <item m="1" x="5090"/>
        <item m="1" x="4252"/>
        <item m="1" x="3483"/>
        <item m="1" x="2879"/>
        <item m="1" x="1112"/>
        <item m="1" x="3393"/>
        <item m="1" x="3400"/>
        <item m="1" x="3407"/>
        <item m="1" x="3414"/>
        <item m="1" x="3422"/>
        <item m="1" x="3429"/>
        <item m="1" x="3443"/>
        <item m="1" x="3185"/>
        <item m="1" x="3191"/>
        <item m="1" x="3199"/>
        <item m="1" x="339"/>
        <item m="1" x="344"/>
        <item m="1" x="349"/>
        <item m="1" x="358"/>
        <item m="1" x="361"/>
        <item m="1" x="7053"/>
        <item m="1" x="1978"/>
        <item m="1" x="5023"/>
        <item m="1" x="1726"/>
        <item m="1" x="1731"/>
        <item m="1" x="716"/>
        <item m="1" x="722"/>
        <item m="1" x="727"/>
        <item m="1" x="732"/>
        <item m="1" x="738"/>
        <item m="1" x="744"/>
        <item m="1" x="7891"/>
        <item m="1" x="7901"/>
        <item m="1" x="1815"/>
        <item m="1" x="1828"/>
        <item m="1" x="1836"/>
        <item m="1" x="3897"/>
        <item m="1" x="2855"/>
        <item m="1" x="2865"/>
        <item m="1" x="1950"/>
        <item m="1" x="1958"/>
        <item m="1" x="1968"/>
        <item m="1" x="1977"/>
        <item m="1" x="1985"/>
        <item m="1" x="1994"/>
        <item m="1" x="2000"/>
        <item m="1" x="2013"/>
        <item m="1" x="2020"/>
        <item m="1" x="2028"/>
        <item m="1" x="1142"/>
        <item m="1" x="1147"/>
        <item m="1" x="1152"/>
        <item m="1" x="1157"/>
        <item m="1" x="1192"/>
        <item m="1" x="1201"/>
        <item m="1" x="348"/>
        <item m="1" x="355"/>
        <item m="1" x="359"/>
        <item m="1" x="369"/>
        <item m="1" x="374"/>
        <item m="1" x="382"/>
        <item m="1" x="394"/>
        <item m="1" x="400"/>
        <item m="1" x="406"/>
        <item m="1" x="418"/>
        <item m="1" x="1803"/>
        <item m="1" x="1812"/>
        <item m="1" x="1822"/>
        <item m="1" x="1832"/>
        <item m="1" x="1842"/>
        <item m="1" x="1852"/>
        <item m="1" x="1863"/>
        <item m="1" x="1867"/>
        <item m="1" x="1876"/>
        <item m="1" x="1884"/>
        <item m="1" x="1037"/>
        <item m="1" x="1048"/>
        <item m="1" x="1055"/>
        <item m="1" x="1059"/>
        <item m="1" x="1065"/>
        <item m="1" x="1071"/>
        <item m="1" x="1074"/>
        <item m="1" x="1079"/>
        <item m="1" x="1089"/>
        <item m="1" x="2448"/>
        <item m="1" x="5060"/>
        <item m="1" x="4326"/>
        <item m="1" x="5435"/>
        <item m="1" x="3788"/>
        <item m="1" x="7677"/>
        <item m="1" x="3375"/>
        <item m="1" x="4758"/>
        <item m="1" x="1481"/>
        <item m="1" x="4831"/>
        <item m="1" x="2544"/>
        <item m="1" x="3911"/>
        <item m="1" x="3776"/>
        <item m="1" x="3008"/>
        <item m="1" x="293"/>
        <item m="1" x="3644"/>
        <item m="1" x="2844"/>
        <item m="1" x="3635"/>
        <item m="1" x="2080"/>
        <item m="1" x="479"/>
        <item m="1" x="522"/>
        <item m="1" x="6890"/>
        <item m="1" x="6300"/>
        <item m="1" x="222"/>
        <item m="1" x="7411"/>
        <item m="1" x="7524"/>
        <item m="1" x="5462"/>
        <item m="1" x="7725"/>
        <item m="1" x="6177"/>
        <item m="1" x="2493"/>
        <item m="1" x="2517"/>
        <item m="1" x="2530"/>
        <item m="1" x="1437"/>
        <item m="1" x="4008"/>
        <item m="1" x="3899"/>
        <item m="1" x="7240"/>
        <item m="1" x="7250"/>
        <item m="1" x="5087"/>
        <item m="1" x="4222"/>
        <item m="1" x="4231"/>
        <item m="1" x="3906"/>
        <item m="1" x="4947"/>
        <item m="1" x="5623"/>
        <item m="1" x="1550"/>
        <item m="1" x="7386"/>
        <item m="1" x="5869"/>
        <item m="1" x="4397"/>
        <item m="1" x="3606"/>
        <item m="1" x="3613"/>
        <item m="1" x="262"/>
        <item m="1" x="6721"/>
        <item m="1" x="6087"/>
        <item m="1" x="7703"/>
        <item m="1" x="7552"/>
        <item m="1" x="6455"/>
        <item m="1" x="1966"/>
        <item m="1" x="6758"/>
        <item m="1" x="7868"/>
        <item m="1" x="5017"/>
        <item m="1" x="2627"/>
        <item m="1" x="4209"/>
        <item m="1" x="1907"/>
        <item m="1" x="5149"/>
        <item m="1" x="5175"/>
        <item m="1" x="6741"/>
        <item m="1" x="3039"/>
        <item m="1" x="4345"/>
        <item m="1" x="7345"/>
        <item m="1" x="3564"/>
        <item m="1" x="2697"/>
        <item m="1" x="7218"/>
        <item m="1" x="7589"/>
        <item m="1" x="7674"/>
        <item m="1" x="3540"/>
        <item m="1" x="3200"/>
        <item m="1" x="2407"/>
        <item m="1" x="4255"/>
        <item m="1" x="2892"/>
        <item m="1" x="1224"/>
        <item m="1" x="7581"/>
        <item m="1" x="6844"/>
        <item m="1" x="7306"/>
        <item m="1" x="2992"/>
        <item m="1" x="7171"/>
        <item m="1" x="3333"/>
        <item m="1" x="3378"/>
        <item m="1" x="2565"/>
        <item m="1" x="2571"/>
        <item m="1" x="1742"/>
        <item m="1" x="4450"/>
        <item m="1" x="6070"/>
        <item m="1" x="3412"/>
        <item m="1" x="959"/>
        <item m="1" x="2579"/>
        <item m="1" x="4650"/>
        <item m="1" x="407"/>
        <item m="1" x="7226"/>
        <item m="1" x="1267"/>
        <item m="1" x="154"/>
        <item m="1" x="3146"/>
        <item m="1" x="4975"/>
        <item m="1" x="1516"/>
        <item m="1" x="5292"/>
        <item m="1" x="7678"/>
        <item m="1" x="2935"/>
        <item m="1" x="4626"/>
        <item m="1" x="7838"/>
        <item m="1" x="1329"/>
        <item m="1" x="5068"/>
        <item m="1" x="1140"/>
        <item m="1" x="7440"/>
        <item m="1" x="6486"/>
        <item m="1" x="1461"/>
        <item m="1" x="1473"/>
        <item m="1" x="1490"/>
        <item m="1" x="7978"/>
        <item m="1" x="3745"/>
        <item m="1" x="2413"/>
        <item m="1" x="7065"/>
        <item m="1" x="4934"/>
        <item m="1" x="4811"/>
        <item m="1" x="3982"/>
        <item m="1" x="3993"/>
        <item m="1" x="264"/>
        <item m="1" x="2585"/>
        <item m="1" x="3645"/>
        <item m="1" x="6147"/>
        <item m="1" x="6168"/>
        <item m="1" x="3676"/>
        <item m="1" x="2996"/>
        <item m="1" x="2455"/>
        <item m="1" x="7174"/>
        <item m="1" x="3041"/>
        <item m="1" x="1308"/>
        <item m="1" x="5570"/>
        <item m="1" x="2680"/>
        <item m="1" x="1405"/>
        <item m="1" x="3317"/>
        <item m="1" x="1957"/>
        <item m="1" x="2066"/>
        <item m="1" x="2081"/>
        <item m="1" x="7654"/>
        <item m="1" x="7669"/>
        <item m="1" x="500"/>
        <item m="1" x="7730"/>
        <item m="1" x="7735"/>
        <item m="1" x="151"/>
        <item m="1" x="5365"/>
        <item m="1" x="7537"/>
        <item m="1" x="6799"/>
        <item m="1" x="3596"/>
        <item m="1" x="244"/>
        <item m="1" x="2072"/>
        <item m="1" x="7660"/>
        <item m="1" x="2970"/>
        <item m="1" x="3014"/>
        <item m="1" x="559"/>
        <item m="1" x="6216"/>
        <item m="1" x="5541"/>
        <item m="1" x="199"/>
        <item m="1" x="2919"/>
        <item m="1" x="6479"/>
        <item m="1" x="3221"/>
        <item m="1" x="5190"/>
        <item m="1" x="2747"/>
        <item m="1" x="2211"/>
        <item m="1" x="2220"/>
        <item m="1" x="1595"/>
        <item m="1" x="176"/>
        <item m="1" x="2934"/>
        <item m="1" x="2953"/>
        <item m="1" x="5670"/>
        <item m="1" x="5677"/>
        <item m="1" x="5689"/>
        <item m="1" x="3908"/>
        <item m="1" x="3140"/>
        <item m="1" x="3144"/>
        <item m="1" x="2632"/>
        <item m="1" x="632"/>
        <item m="1" x="7587"/>
        <item m="1" x="3674"/>
        <item m="1" x="2434"/>
        <item m="1" x="4939"/>
        <item m="1" x="3149"/>
        <item m="1" x="7289"/>
        <item m="1" x="933"/>
        <item m="1" x="5391"/>
        <item m="1" x="5406"/>
        <item m="1" x="5415"/>
        <item m="1" x="5430"/>
        <item m="1" x="5434"/>
        <item m="1" x="584"/>
        <item m="1" x="7708"/>
        <item m="1" x="2492"/>
        <item m="1" x="2505"/>
        <item m="1" x="7139"/>
        <item m="1" x="7167"/>
        <item m="1" x="4130"/>
        <item m="1" x="2832"/>
        <item m="1" x="1926"/>
        <item m="1" x="2852"/>
        <item m="1" x="1946"/>
        <item m="1" x="4757"/>
        <item m="1" x="5659"/>
        <item m="1" x="4614"/>
        <item m="1" x="6181"/>
        <item m="1" x="2191"/>
        <item m="1" x="6337"/>
        <item m="1" x="5615"/>
        <item m="1" x="4060"/>
        <item m="1" x="4103"/>
        <item m="1" x="6739"/>
        <item m="1" x="4558"/>
        <item m="1" x="2932"/>
        <item m="1" x="6666"/>
        <item m="1" x="2980"/>
        <item m="1" x="6271"/>
        <item m="1" x="6842"/>
        <item m="1" x="6718"/>
        <item m="1" x="2095"/>
        <item m="1" x="2117"/>
        <item m="1" x="2325"/>
        <item m="1" x="4767"/>
        <item m="1" x="1824"/>
        <item m="1" x="1834"/>
        <item m="1" x="5398"/>
        <item m="1" x="7387"/>
        <item m="1" x="1927"/>
        <item m="1" x="6815"/>
        <item m="1" x="5913"/>
        <item m="1" x="5926"/>
        <item m="1" x="3514"/>
        <item m="1" x="6904"/>
        <item m="1" x="5262"/>
        <item m="1" x="6946"/>
        <item m="1" x="6580"/>
        <item m="1" x="6585"/>
        <item m="1" x="5184"/>
        <item m="1" x="5254"/>
        <item m="1" x="4169"/>
        <item m="1" x="1098"/>
        <item m="1" x="3501"/>
        <item m="1" x="3505"/>
        <item m="1" x="1361"/>
        <item m="1" x="6805"/>
        <item m="1" x="6527"/>
        <item m="1" x="4097"/>
        <item m="1" x="7182"/>
        <item m="1" x="4946"/>
        <item m="1" x="4119"/>
        <item m="1" x="2765"/>
        <item m="1" x="4092"/>
        <item m="1" x="218"/>
        <item m="1" x="2194"/>
        <item m="1" x="574"/>
        <item m="1" x="7641"/>
        <item m="1" x="3812"/>
        <item m="1" x="3053"/>
        <item m="1" x="3062"/>
        <item m="1" x="3069"/>
        <item m="1" x="3082"/>
        <item m="1" x="3095"/>
        <item m="1" x="1925"/>
        <item m="1" x="1693"/>
        <item m="1" x="4644"/>
        <item m="1" x="3891"/>
        <item m="1" x="4732"/>
        <item m="1" x="7590"/>
        <item m="1" x="6528"/>
        <item m="1" x="4399"/>
        <item m="1" x="1856"/>
        <item m="1" x="5547"/>
        <item m="1" x="3201"/>
        <item m="1" x="2983"/>
        <item m="1" x="6092"/>
        <item m="1" x="1911"/>
        <item m="1" x="616"/>
        <item m="1" x="6977"/>
        <item m="1" x="6275"/>
        <item m="1" x="4313"/>
        <item m="1" x="100"/>
        <item m="1" x="1116"/>
        <item m="1" x="7376"/>
        <item m="1" x="3154"/>
        <item m="1" x="1947"/>
        <item m="1" x="372"/>
        <item m="1" x="5924"/>
        <item m="1" x="6916"/>
        <item m="1" x="6922"/>
        <item m="1" x="7828"/>
        <item m="1" x="7513"/>
        <item m="1" x="7525"/>
        <item m="1" x="303"/>
        <item m="1" x="5216"/>
        <item m="1" x="253"/>
        <item m="1" x="272"/>
        <item m="1" x="6114"/>
        <item m="1" x="639"/>
        <item m="1" x="2180"/>
        <item m="1" x="2206"/>
        <item m="1" x="3128"/>
        <item m="1" x="580"/>
        <item m="1" x="6296"/>
        <item m="1" x="3709"/>
        <item m="1" x="7154"/>
        <item m="1" x="7618"/>
        <item m="1" x="5576"/>
        <item m="1" x="4731"/>
        <item m="1" x="7011"/>
        <item m="1" x="1979"/>
        <item m="1" x="7185"/>
        <item m="1" x="2485"/>
        <item m="1" x="4374"/>
        <item m="1" x="6250"/>
        <item m="1" x="1130"/>
        <item m="1" x="1750"/>
        <item m="1" x="1763"/>
        <item m="1" x="5864"/>
        <item m="1" x="6751"/>
        <item m="1" x="6292"/>
        <item m="1" x="4796"/>
        <item m="1" x="5331"/>
        <item m="1" x="4585"/>
        <item m="1" x="4598"/>
        <item m="1" x="665"/>
        <item m="1" x="1097"/>
        <item m="1" x="2580"/>
        <item m="1" x="1663"/>
        <item m="1" x="1260"/>
        <item m="1" x="6670"/>
        <item m="1" x="7029"/>
        <item m="1" x="6768"/>
        <item m="1" x="2333"/>
        <item m="1" x="748"/>
        <item m="1" x="3506"/>
        <item m="1" x="7481"/>
        <item m="1" x="7491"/>
        <item m="1" x="3102"/>
        <item m="1" x="7724"/>
        <item m="1" x="256"/>
        <item m="1" x="6650"/>
        <item m="1" x="7597"/>
        <item m="1" x="760"/>
        <item m="1" x="7960"/>
        <item m="1" x="1535"/>
        <item m="1" x="7146"/>
        <item m="1" x="6694"/>
        <item m="1" x="719"/>
        <item m="1" x="3142"/>
        <item m="1" x="2295"/>
        <item m="1" x="6951"/>
        <item m="1" x="3863"/>
        <item m="1" x="1502"/>
        <item m="1" x="627"/>
        <item m="1" x="2102"/>
        <item m="1" x="3363"/>
        <item m="1" x="4554"/>
        <item m="1" x="5975"/>
        <item m="1" x="5996"/>
        <item m="1" x="3398"/>
        <item m="1" x="1690"/>
        <item m="1" x="6759"/>
        <item m="1" x="3800"/>
        <item m="1" x="1294"/>
        <item m="1" x="1425"/>
        <item m="1" x="5044"/>
        <item m="1" x="550"/>
        <item m="1" x="7701"/>
        <item m="1" x="6691"/>
        <item m="1" x="2347"/>
        <item m="1" x="7"/>
        <item m="1" x="1403"/>
        <item m="1" x="2129"/>
        <item m="1" x="1577"/>
        <item m="1" x="1798"/>
        <item m="1" x="230"/>
        <item m="1" x="3499"/>
        <item m="1" x="898"/>
        <item m="1" x="910"/>
        <item m="1" x="921"/>
        <item m="1" x="934"/>
        <item m="1" x="2386"/>
        <item m="1" x="7844"/>
        <item m="1" x="7858"/>
        <item m="1" x="7867"/>
        <item m="1" x="5851"/>
        <item m="1" x="4994"/>
        <item m="1" x="5002"/>
        <item m="1" x="5015"/>
        <item m="1" x="7413"/>
        <item m="1" x="7421"/>
        <item m="1" x="7432"/>
        <item m="1" x="6617"/>
        <item m="1" x="6619"/>
        <item m="1" x="6630"/>
        <item m="1" x="6635"/>
        <item m="1" x="6644"/>
        <item m="1" x="6651"/>
        <item m="1" x="6658"/>
        <item m="1" x="6664"/>
        <item m="1" x="6671"/>
        <item m="1" x="6681"/>
        <item m="1" x="6960"/>
        <item m="1" x="6965"/>
        <item m="1" x="6979"/>
        <item m="1" x="6995"/>
        <item m="1" x="6999"/>
        <item m="1" x="7006"/>
        <item m="1" x="6497"/>
        <item m="1" x="7778"/>
        <item m="1" x="5342"/>
        <item m="1" x="4714"/>
        <item m="1" x="1800"/>
        <item m="1" x="7582"/>
        <item m="1" x="313"/>
        <item m="1" x="4560"/>
        <item m="1" x="4565"/>
        <item m="1" x="1453"/>
        <item m="1" x="2866"/>
        <item m="1" x="1346"/>
        <item m="1" x="7407"/>
        <item m="1" x="6325"/>
        <item m="1" x="4071"/>
        <item m="1" x="4082"/>
        <item m="1" x="3294"/>
        <item m="1" x="1428"/>
        <item m="1" x="4771"/>
        <item m="1" x="963"/>
        <item m="1" x="982"/>
        <item m="1" x="993"/>
        <item m="1" x="1017"/>
        <item m="1" x="139"/>
        <item m="1" x="150"/>
        <item m="1" x="158"/>
        <item m="1" x="164"/>
        <item m="1" x="2660"/>
        <item m="1" x="2669"/>
        <item m="1" x="2695"/>
        <item m="1" x="2705"/>
        <item m="1" x="2709"/>
        <item m="1" x="2716"/>
        <item m="1" x="347"/>
        <item m="1" x="1816"/>
        <item m="1" x="1837"/>
        <item m="1" x="1859"/>
        <item m="1" x="1866"/>
        <item m="1" x="1870"/>
        <item m="1" x="1878"/>
        <item m="1" x="1889"/>
        <item m="1" x="1041"/>
        <item m="1" x="5801"/>
        <item m="1" x="4069"/>
        <item m="1" x="4076"/>
        <item m="1" x="3299"/>
        <item m="1" x="969"/>
        <item m="1" x="996"/>
        <item m="1" x="1007"/>
        <item m="1" x="1011"/>
        <item m="1" x="173"/>
        <item m="1" x="2685"/>
        <item m="1" x="2721"/>
        <item m="1" x="2729"/>
        <item m="1" x="1808"/>
        <item m="1" x="1829"/>
        <item m="1" x="734"/>
        <item m="1" x="476"/>
        <item m="1" x="6860"/>
        <item m="1" x="5327"/>
        <item m="1" x="3043"/>
        <item m="1" x="1340"/>
        <item m="1" x="1948"/>
        <item m="1" x="1177"/>
        <item m="1" x="447"/>
        <item m="1" x="457"/>
        <item m="1" x="3677"/>
        <item m="1" x="2860"/>
        <item m="1" x="5309"/>
        <item m="1" x="3631"/>
        <item m="1" x="2899"/>
        <item m="1" x="2905"/>
        <item m="1" x="7462"/>
        <item m="1" x="2203"/>
        <item m="1" x="2209"/>
        <item m="1" x="2215"/>
        <item m="1" x="7624"/>
        <item m="1" x="1406"/>
        <item m="1" x="2958"/>
        <item m="1" x="2143"/>
        <item m="1" x="2337"/>
        <item m="1" x="1523"/>
        <item m="1" x="4028"/>
        <item m="1" x="3859"/>
        <item m="1" x="3101"/>
        <item m="1" x="5575"/>
        <item m="1" x="1144"/>
        <item m="1" x="3717"/>
        <item m="1" x="2138"/>
        <item m="1" x="353"/>
        <item m="1" x="381"/>
        <item m="1" x="6117"/>
        <item m="1" x="1197"/>
        <item m="1" x="4024"/>
        <item m="1" x="7187"/>
        <item m="1" x="2753"/>
        <item m="1" x="4836"/>
        <item m="1" x="4602"/>
        <item m="1" x="4615"/>
        <item m="1" x="4917"/>
        <item m="1" x="3369"/>
        <item m="1" x="4800"/>
        <item m="1" x="2497"/>
        <item m="1" x="1578"/>
        <item m="1" x="2456"/>
        <item m="1" x="672"/>
        <item m="1" x="2615"/>
        <item m="1" x="5721"/>
        <item m="1" x="4859"/>
        <item m="1" x="6226"/>
        <item m="1" x="3112"/>
        <item m="1" x="7137"/>
        <item m="1" x="6937"/>
        <item m="1" x="5704"/>
        <item m="1" x="4812"/>
        <item m="1" x="7001"/>
        <item m="1" x="6297"/>
        <item m="1" x="3054"/>
        <item m="1" x="5821"/>
        <item m="1" x="3230"/>
        <item m="1" x="3153"/>
        <item m="1" x="2378"/>
        <item m="1" x="4063"/>
        <item m="1" x="115"/>
        <item m="1" x="127"/>
        <item m="1" x="134"/>
        <item m="1" x="1851"/>
        <item m="1" x="3835"/>
        <item m="1" x="2213"/>
        <item m="1" x="6665"/>
        <item m="1" x="4496"/>
        <item m="1" x="2224"/>
        <item m="1" x="5572"/>
        <item m="1" x="6843"/>
        <item m="1" x="4772"/>
        <item m="1" x="1468"/>
        <item m="1" x="5230"/>
        <item m="1" x="2376"/>
        <item m="1" x="2331"/>
        <item m="1" x="5740"/>
        <item m="1" x="4049"/>
        <item m="1" x="5675"/>
        <item m="1" x="5688"/>
        <item m="1" x="3248"/>
        <item m="1" x="1560"/>
        <item m="1" x="7152"/>
        <item m="1" x="2630"/>
        <item m="1" x="5426"/>
        <item m="1" x="6283"/>
        <item m="1" x="4022"/>
        <item m="1" x="1751"/>
        <item m="1" x="7593"/>
        <item m="1" x="3638"/>
        <item m="1" x="2922"/>
        <item m="1" x="1206"/>
        <item m="1" x="423"/>
        <item m="1" x="1495"/>
        <item m="1" x="1141"/>
        <item m="1" x="7661"/>
        <item m="1" x="4454"/>
        <item m="1" x="569"/>
        <item m="1" x="6974"/>
        <item m="1" x="2961"/>
        <item m="1" x="3193"/>
        <item m="1" x="5471"/>
        <item m="1" x="3953"/>
        <item m="1" x="7931"/>
        <item m="1" x="3448"/>
        <item m="1" x="1827"/>
        <item m="1" x="5298"/>
        <item m="1" x="6852"/>
        <item m="1" x="6870"/>
        <item m="1" x="5665"/>
        <item m="1" x="2732"/>
        <item m="1" x="5249"/>
        <item m="1" x="3360"/>
        <item m="1" x="790"/>
        <item m="1" x="7953"/>
        <item m="1" x="1694"/>
        <item m="1" x="1770"/>
        <item m="1" x="11"/>
        <item m="1" x="6509"/>
        <item m="1" x="6023"/>
        <item m="1" x="4441"/>
        <item m="1" x="4494"/>
        <item m="1" x="7203"/>
        <item m="1" x="4142"/>
        <item m="1" x="3405"/>
        <item m="1" x="2603"/>
        <item m="1" x="2477"/>
        <item m="1" x="825"/>
        <item m="1" x="2574"/>
        <item m="1" x="1702"/>
        <item m="1" x="7329"/>
        <item m="1" x="1002"/>
        <item m="1" x="951"/>
        <item m="1" x="5064"/>
        <item m="1" x="971"/>
        <item m="1" x="5007"/>
        <item m="1" x="5022"/>
        <item m="1" x="5033"/>
        <item m="1" x="5037"/>
        <item m="1" x="4182"/>
        <item m="1" x="237"/>
        <item m="1" x="243"/>
        <item m="1" x="250"/>
        <item m="1" x="254"/>
        <item m="1" x="1180"/>
        <item m="1" x="1186"/>
        <item m="1" x="1194"/>
        <item m="1" x="1204"/>
        <item m="1" x="1210"/>
        <item m="1" x="1219"/>
        <item m="1" x="1222"/>
        <item m="1" x="1233"/>
        <item m="1" x="1240"/>
        <item m="1" x="1248"/>
        <item m="1" x="395"/>
        <item m="1" x="402"/>
        <item m="1" x="408"/>
        <item m="1" x="420"/>
        <item m="1" x="428"/>
        <item m="1" x="3415"/>
        <item m="1" x="3424"/>
        <item m="1" x="3431"/>
        <item m="1" x="3444"/>
        <item m="1" x="3450"/>
        <item m="1" x="3455"/>
        <item m="1" x="3466"/>
        <item m="1" x="2634"/>
        <item m="1" x="2638"/>
        <item m="1" x="2646"/>
        <item m="1" x="2656"/>
        <item m="1" x="2663"/>
        <item m="1" x="2676"/>
        <item m="1" x="2687"/>
        <item m="1" x="2700"/>
        <item m="1" x="2708"/>
        <item m="1" x="2711"/>
        <item m="1" x="1784"/>
        <item m="1" x="1791"/>
        <item m="1" x="1802"/>
        <item m="1" x="1810"/>
        <item m="1" x="1819"/>
        <item m="1" x="1830"/>
        <item m="1" x="1840"/>
        <item m="1" x="1850"/>
        <item m="1" x="1861"/>
        <item m="1" x="4127"/>
        <item m="1" x="4136"/>
        <item m="1" x="5954"/>
        <item m="1" x="5959"/>
        <item m="1" x="5965"/>
        <item m="1" x="5971"/>
        <item m="1" x="5980"/>
        <item m="1" x="5983"/>
        <item m="1" x="5989"/>
        <item m="1" x="6001"/>
        <item m="1" x="6008"/>
        <item m="1" x="5166"/>
        <item m="1" x="5177"/>
        <item m="1" x="5188"/>
        <item m="1" x="5193"/>
        <item m="1" x="5199"/>
        <item m="1" x="5205"/>
        <item m="1" x="5211"/>
        <item m="1" x="5220"/>
        <item m="1" x="7811"/>
        <item m="1" x="5203"/>
        <item m="1" x="1756"/>
        <item m="1" x="858"/>
        <item m="1" x="864"/>
        <item m="1" x="869"/>
        <item m="1" x="7928"/>
        <item m="1" x="7077"/>
        <item m="1" x="7081"/>
        <item m="1" x="7086"/>
        <item m="1" x="5427"/>
        <item m="1" x="7600"/>
        <item m="1" x="7614"/>
        <item m="1" x="7623"/>
        <item m="1" x="7631"/>
        <item m="1" x="7646"/>
        <item m="1" x="7651"/>
        <item m="1" x="7659"/>
        <item m="1" x="7667"/>
        <item m="1" x="7676"/>
        <item m="1" x="7683"/>
        <item m="1" x="1733"/>
        <item m="1" x="2540"/>
        <item m="1" x="624"/>
        <item m="1" x="6466"/>
        <item m="1" x="3396"/>
        <item m="1" x="3919"/>
        <item m="1" x="7776"/>
        <item m="1" x="4054"/>
        <item m="1" x="2976"/>
        <item m="1" x="1597"/>
        <item m="1" x="1320"/>
        <item m="1" x="1325"/>
        <item m="1" x="1330"/>
        <item m="1" x="1337"/>
        <item m="1" x="1341"/>
        <item m="1" x="1350"/>
        <item m="1" x="1359"/>
        <item m="1" x="1364"/>
        <item m="1" x="1370"/>
        <item m="1" x="544"/>
        <item m="1" x="549"/>
        <item m="1" x="552"/>
        <item m="1" x="556"/>
        <item m="1" x="562"/>
        <item m="1" x="565"/>
        <item m="1" x="570"/>
        <item m="1" x="577"/>
        <item m="1" x="582"/>
        <item m="1" x="586"/>
        <item m="1" x="2003"/>
        <item m="1" x="2014"/>
        <item m="1" x="2022"/>
        <item m="1" x="2030"/>
        <item m="1" x="2038"/>
        <item m="1" x="2049"/>
        <item m="1" x="2053"/>
        <item m="1" x="3789"/>
        <item m="1" x="3059"/>
        <item m="1" x="3080"/>
        <item m="1" x="4156"/>
        <item m="1" x="4163"/>
        <item m="1" x="4171"/>
        <item m="1" x="4174"/>
        <item m="1" x="3520"/>
        <item m="1" x="3529"/>
        <item m="1" x="88"/>
        <item m="1" x="1202"/>
        <item m="1" x="1209"/>
        <item m="1" x="1216"/>
        <item m="1" x="448"/>
        <item m="1" x="458"/>
        <item m="1" x="466"/>
        <item m="1" x="471"/>
        <item m="1" x="7584"/>
        <item m="1" x="7615"/>
        <item m="1" x="7464"/>
        <item m="1" x="7470"/>
        <item m="1" x="7477"/>
        <item m="1" x="7486"/>
        <item m="1" x="7494"/>
        <item m="1" x="7506"/>
        <item m="1" x="7516"/>
        <item m="1" x="7520"/>
        <item m="1" x="7531"/>
        <item m="1" x="6720"/>
        <item m="1" x="6732"/>
        <item m="1" x="2926"/>
        <item m="1" x="2093"/>
        <item m="1" x="2096"/>
        <item m="1" x="2106"/>
        <item m="1" x="6003"/>
        <item m="1" x="6011"/>
        <item m="1" x="5278"/>
        <item m="1" x="130"/>
        <item m="1" x="7351"/>
        <item m="1" x="7366"/>
        <item m="1" x="5587"/>
        <item m="1" x="6929"/>
        <item m="1" x="4505"/>
        <item m="1" x="4804"/>
        <item m="1" x="7298"/>
        <item m="1" x="366"/>
        <item m="1" x="5316"/>
        <item m="1" x="1033"/>
        <item m="1" x="3646"/>
        <item m="1" x="4265"/>
        <item m="1" x="1383"/>
        <item m="1" x="7769"/>
        <item m="1" x="1063"/>
        <item m="1" x="492"/>
        <item m="1" x="5"/>
        <item m="1" x="1280"/>
        <item m="1" x="7608"/>
        <item m="1" x="3760"/>
        <item m="1" x="3024"/>
        <item m="1" x="5653"/>
        <item m="1" x="3323"/>
        <item m="1" x="5071"/>
        <item m="1" x="4895"/>
        <item m="1" x="1951"/>
        <item m="1" x="442"/>
        <item m="1" x="1567"/>
        <item m="1" x="1576"/>
        <item m="1" x="927"/>
        <item m="1" x="7361"/>
        <item m="1" x="6604"/>
        <item m="1" x="1831"/>
        <item m="1" x="7315"/>
        <item m="1" x="1768"/>
        <item m="1" x="2037"/>
        <item m="1" x="7792"/>
        <item m="1" x="4860"/>
        <item m="1" x="5961"/>
        <item m="1" x="5178"/>
        <item m="1" x="925"/>
        <item m="1" x="938"/>
        <item m="1" x="6785"/>
        <item m="1" x="2915"/>
        <item m="1" x="2921"/>
        <item m="1" x="2082"/>
        <item m="1" x="6305"/>
        <item m="1" x="5736"/>
        <item m="1" x="5778"/>
        <item m="1" x="5783"/>
        <item m="1" x="4976"/>
        <item m="1" x="5020"/>
        <item m="1" x="4197"/>
        <item m="1" x="4219"/>
        <item m="1" x="4249"/>
        <item m="1" x="278"/>
        <item m="1" x="285"/>
        <item m="1" x="299"/>
        <item m="1" x="320"/>
        <item m="1" x="1709"/>
        <item m="1" x="1725"/>
        <item m="1" x="1759"/>
        <item m="1" x="1764"/>
        <item m="1" x="928"/>
        <item m="1" x="935"/>
        <item m="1" x="953"/>
        <item m="1" x="961"/>
        <item m="1" x="966"/>
        <item m="1" x="976"/>
        <item m="1" x="989"/>
        <item m="1" x="1003"/>
        <item m="1" x="109"/>
        <item m="1" x="117"/>
        <item m="1" x="123"/>
        <item m="1" x="144"/>
        <item m="1" x="926"/>
        <item m="1" x="3066"/>
        <item m="1" x="2216"/>
        <item m="1" x="2237"/>
        <item m="1" x="5413"/>
        <item m="1" x="7829"/>
        <item m="1" x="3274"/>
        <item m="1" x="4532"/>
        <item m="1" x="4064"/>
        <item m="1" x="5167"/>
        <item m="1" x="4258"/>
        <item m="1" x="6641"/>
        <item m="1" x="4247"/>
        <item m="1" x="4678"/>
        <item m="1" x="7810"/>
        <item m="1" x="5332"/>
        <item m="1" x="6270"/>
        <item m="1" x="3907"/>
        <item m="1" x="5147"/>
        <item m="1" x="4371"/>
        <item m="1" x="2809"/>
        <item m="1" x="1904"/>
        <item m="1" x="131"/>
        <item m="1" x="205"/>
        <item m="1" x="1136"/>
        <item m="1" x="6198"/>
        <item m="1" x="4467"/>
        <item m="1" x="4474"/>
        <item m="1" x="6298"/>
        <item m="1" x="3694"/>
        <item m="1" x="3702"/>
        <item m="1" x="3708"/>
        <item m="1" x="3714"/>
        <item m="1" x="3720"/>
        <item m="1" x="3723"/>
        <item m="1" x="3729"/>
        <item m="1" x="3738"/>
        <item m="1" x="3741"/>
        <item m="1" x="5745"/>
        <item m="1" x="5750"/>
        <item m="1" x="5756"/>
        <item m="1" x="5764"/>
        <item m="1" x="5769"/>
        <item m="1" x="4957"/>
        <item m="1" x="4961"/>
        <item m="1" x="4969"/>
        <item m="1" x="4983"/>
        <item m="1" x="4991"/>
        <item m="1" x="4998"/>
        <item m="1" x="5006"/>
        <item m="1" x="5029"/>
        <item m="1" x="4178"/>
        <item m="1" x="4181"/>
        <item m="1" x="4189"/>
        <item m="1" x="4204"/>
        <item m="1" x="4211"/>
        <item m="1" x="4226"/>
        <item m="1" x="4239"/>
        <item m="1" x="3436"/>
        <item m="1" x="309"/>
        <item m="1" x="3883"/>
        <item m="1" x="3888"/>
        <item m="1" x="3894"/>
        <item m="1" x="3900"/>
        <item m="1" x="3913"/>
        <item m="1" x="3920"/>
        <item m="1" x="3147"/>
        <item m="1" x="3158"/>
        <item m="1" x="3165"/>
        <item m="1" x="269"/>
        <item m="1" x="1719"/>
        <item m="1" x="1737"/>
        <item m="1" x="1744"/>
        <item m="1" x="1753"/>
        <item m="1" x="946"/>
        <item m="1" x="7307"/>
        <item m="1" x="7332"/>
        <item m="1" x="7343"/>
        <item m="1" x="5270"/>
        <item m="1" x="2141"/>
        <item m="1" x="2152"/>
        <item m="1" x="2164"/>
        <item m="1" x="2174"/>
        <item m="1" x="1278"/>
        <item m="1" x="7752"/>
        <item m="1" x="533"/>
        <item m="1" x="4335"/>
        <item m="1" x="5395"/>
        <item m="1" x="3322"/>
        <item m="1" x="7038"/>
        <item m="1" x="685"/>
        <item m="1" x="4548"/>
        <item m="1" x="2109"/>
        <item m="1" x="2742"/>
        <item m="1" x="7162"/>
        <item m="1" x="5841"/>
        <item m="1" x="3512"/>
        <item m="1" x="7789"/>
        <item m="1" x="3123"/>
        <item m="1" x="2092"/>
        <item m="1" x="2722"/>
        <item m="1" x="1880"/>
        <item m="1" x="1021"/>
        <item m="1" x="5282"/>
        <item m="1" x="1432"/>
        <item m="1" x="314"/>
        <item m="1" x="5914"/>
        <item m="1" x="4612"/>
        <item m="1" x="6268"/>
        <item m="1" x="721"/>
        <item m="1" x="597"/>
        <item m="1" x="5346"/>
        <item m="1" x="7034"/>
        <item m="1" x="7842"/>
        <item m="1" x="3240"/>
        <item m="1" x="7280"/>
        <item m="1" x="2748"/>
        <item m="1" x="7501"/>
        <item m="1" x="459"/>
        <item m="1" x="2713"/>
        <item m="1" x="3569"/>
        <item m="1" x="2736"/>
        <item m="1" x="7021"/>
        <item m="1" x="1891"/>
        <item m="1" x="2764"/>
        <item m="1" x="6086"/>
        <item m="1" x="3445"/>
        <item m="1" x="2218"/>
        <item m="1" x="2346"/>
        <item m="1" x="7426"/>
        <item m="1" x="4353"/>
        <item m="1" x="5485"/>
        <item m="1" x="4369"/>
        <item m="1" x="4485"/>
        <item m="1" x="198"/>
        <item m="1" x="7425"/>
        <item m="1" x="4417"/>
        <item m="1" x="4825"/>
        <item m="1" x="2145"/>
        <item m="1" x="4997"/>
        <item m="1" x="2760"/>
        <item m="1" x="7431"/>
        <item m="1" x="5317"/>
        <item m="1" x="3621"/>
        <item m="1" x="4134"/>
        <item m="1" x="7895"/>
        <item m="1" x="5107"/>
        <item m="1" x="7825"/>
        <item m="1" x="689"/>
        <item m="1" x="4067"/>
        <item m="1" x="1646"/>
        <item m="1" x="1654"/>
        <item m="1" x="1672"/>
        <item m="1" x="704"/>
        <item m="1" x="4826"/>
        <item m="1" x="2641"/>
        <item m="1" x="1741"/>
        <item m="1" x="2486"/>
        <item m="1" x="2308"/>
        <item m="1" x="4109"/>
        <item m="1" x="4113"/>
        <item m="1" x="4135"/>
        <item m="1" x="4148"/>
        <item m="1" x="1787"/>
        <item m="1" x="2375"/>
        <item m="1" x="2078"/>
        <item m="1" x="5283"/>
        <item m="1" x="7604"/>
        <item m="1" x="7775"/>
        <item m="1" x="1420"/>
        <item m="1" x="490"/>
        <item m="1" x="504"/>
        <item m="1" x="5325"/>
        <item m="1" x="5341"/>
        <item m="1" x="4669"/>
        <item m="1" x="3846"/>
        <item m="1" x="3099"/>
        <item m="1" x="3129"/>
        <item m="1" x="2326"/>
        <item m="1" x="2339"/>
        <item m="1" x="1433"/>
        <item m="1" x="1494"/>
        <item m="1" x="679"/>
        <item m="1" x="696"/>
        <item m="1" x="5598"/>
        <item m="1" x="1716"/>
        <item m="1" x="2805"/>
        <item m="1" x="7782"/>
        <item m="1" x="1681"/>
        <item m="1" x="3237"/>
        <item m="1" x="7216"/>
        <item m="1" x="7981"/>
        <item m="1" x="5729"/>
        <item m="1" x="4641"/>
        <item m="1" x="697"/>
        <item m="1" x="7957"/>
        <item m="1" x="118"/>
        <item m="1" x="3130"/>
        <item m="1" x="655"/>
        <item m="1" x="5472"/>
        <item m="1" x="7200"/>
        <item m="1" x="2226"/>
        <item m="1" x="604"/>
        <item m="1" x="5943"/>
        <item m="1" x="4823"/>
        <item m="1" x="3050"/>
        <item m="1" x="3075"/>
        <item m="1" x="5447"/>
        <item m="1" x="5457"/>
        <item m="1" x="7111"/>
        <item m="1" x="2813"/>
        <item m="1" x="2242"/>
        <item m="1" x="572"/>
        <item m="1" x="5593"/>
        <item m="1" x="5436"/>
        <item m="1" x="5440"/>
        <item m="1" x="2588"/>
        <item m="1" x="3051"/>
        <item m="1" x="7963"/>
        <item m="1" x="3168"/>
        <item m="1" x="5464"/>
        <item m="1" x="633"/>
        <item m="1" x="1804"/>
        <item m="1" x="2173"/>
        <item m="1" x="6232"/>
        <item m="1" x="2252"/>
        <item m="1" x="3922"/>
        <item m="1" x="6978"/>
        <item m="1" x="2509"/>
        <item m="1" x="3382"/>
        <item m="1" x="2624"/>
        <item m="1" x="7911"/>
        <item m="1" x="208"/>
        <item m="1" x="3822"/>
        <item m="1" x="3187"/>
        <item m="1" x="3194"/>
        <item m="1" x="2820"/>
        <item m="1" x="1118"/>
        <item m="1" x="2665"/>
        <item m="1" x="2388"/>
        <item m="1" x="5059"/>
        <item m="1" x="6567"/>
        <item m="1" x="2011"/>
        <item m="1" x="1164"/>
        <item m="1" x="3609"/>
        <item m="1" x="4754"/>
        <item m="1" x="3903"/>
        <item m="1" x="7229"/>
        <item m="1" x="6002"/>
        <item m="1" x="7258"/>
        <item m="1" x="3203"/>
        <item m="1" x="4139"/>
        <item m="1" x="4162"/>
        <item m="1" x="3462"/>
        <item m="1" x="3335"/>
        <item m="1" x="1272"/>
        <item m="1" x="5744"/>
        <item m="1" x="110"/>
        <item m="1" x="920"/>
        <item m="1" x="7161"/>
        <item m="1" x="4057"/>
        <item m="1" x="5301"/>
        <item m="1" x="6675"/>
        <item m="1" x="2075"/>
        <item m="1" x="1207"/>
        <item m="1" x="277"/>
        <item m="1" x="3303"/>
        <item m="1" x="2499"/>
        <item m="1" x="2535"/>
        <item m="1" x="2549"/>
        <item m="1" x="1623"/>
        <item m="1" x="7177"/>
        <item m="1" x="827"/>
        <item m="1" x="838"/>
        <item m="1" x="845"/>
        <item m="1" x="862"/>
        <item m="1" x="988"/>
        <item m="1" x="5143"/>
        <item m="1" x="7803"/>
        <item m="1" x="7814"/>
        <item m="1" x="5858"/>
        <item m="1" x="2771"/>
        <item m="1" x="1353"/>
        <item m="1" x="4085"/>
        <item m="1" x="5473"/>
        <item m="1" x="1703"/>
        <item m="1" x="69"/>
        <item m="1" x="3872"/>
        <item m="1" x="3881"/>
        <item m="1" x="6506"/>
        <item m="1" x="6535"/>
        <item m="1" x="3662"/>
        <item m="1" x="319"/>
        <item m="1" x="1035"/>
        <item m="1" x="179"/>
        <item m="1" x="6633"/>
        <item m="1" x="915"/>
        <item m="1" x="2372"/>
        <item m="1" x="7117"/>
        <item m="1" x="1407"/>
        <item m="1" x="4582"/>
        <item m="1" x="1327"/>
        <item m="1" x="4730"/>
        <item m="1" x="2348"/>
        <item m="1" x="1488"/>
        <item m="1" x="714"/>
        <item m="1" x="2570"/>
        <item m="1" x="7194"/>
        <item m="1" x="2436"/>
        <item m="1" x="6564"/>
        <item m="1" x="7094"/>
        <item m="1" x="5650"/>
        <item m="1" x="4726"/>
        <item m="1" x="121"/>
        <item m="1" x="7292"/>
        <item m="1" x="7321"/>
        <item m="1" x="3258"/>
        <item m="1" x="7172"/>
        <item m="1" x="6498"/>
        <item m="1" x="7314"/>
        <item m="1" x="7328"/>
        <item m="1" x="7337"/>
        <item m="1" x="4431"/>
        <item m="1" x="5694"/>
        <item m="1" x="6029"/>
        <item m="1" x="4635"/>
        <item m="1" x="3622"/>
        <item m="1" x="6840"/>
        <item m="1" x="903"/>
        <item m="1" x="6971"/>
        <item m="1" x="6471"/>
        <item m="1" x="3449"/>
        <item m="1" x="2470"/>
        <item m="1" x="1159"/>
        <item m="1" x="1569"/>
        <item m="1" x="1579"/>
        <item m="1" x="4856"/>
        <item m="1" x="5343"/>
        <item m="1" x="7799"/>
        <item m="1" x="772"/>
        <item m="1" x="3983"/>
        <item m="1" x="1686"/>
        <item m="1" x="3651"/>
        <item m="1" x="6668"/>
        <item m="1" x="5364"/>
        <item m="1" x="3115"/>
        <item m="1" x="743"/>
        <item m="1" x="1154"/>
        <item m="1" x="6892"/>
        <item m="1" x="5555"/>
        <item m="1" x="756"/>
        <item m="1" x="6473"/>
        <item m="1" x="5894"/>
        <item m="1" x="7236"/>
        <item m="1" x="7247"/>
        <item m="1" x="7454"/>
        <item m="1" x="7461"/>
        <item m="1" x="1707"/>
        <item m="1" x="5326"/>
        <item m="1" x="1518"/>
        <item m="1" x="2296"/>
        <item m="1" x="7195"/>
        <item m="1" x="2482"/>
        <item m="1" x="856"/>
        <item m="1" x="6326"/>
        <item m="1" x="7049"/>
        <item m="1" x="7938"/>
        <item m="1" x="2826"/>
        <item m="1" x="6039"/>
        <item m="1" x="2955"/>
        <item m="1" x="3087"/>
        <item m="1" x="6006"/>
        <item m="1" x="5171"/>
        <item m="1" x="5041"/>
        <item m="1" x="5976"/>
        <item m="1" x="5962"/>
        <item m="1" x="258"/>
        <item m="1" x="265"/>
        <item m="1" x="274"/>
        <item m="1" x="281"/>
        <item m="1" x="288"/>
        <item m="1" x="295"/>
        <item m="1" x="300"/>
        <item m="1" x="310"/>
        <item m="1" x="7444"/>
        <item m="1" x="7449"/>
        <item m="1" x="7452"/>
        <item m="1" x="7459"/>
        <item m="1" x="7466"/>
        <item m="1" x="7471"/>
        <item m="1" x="7478"/>
        <item m="1" x="7489"/>
        <item m="1" x="7499"/>
        <item m="1" x="7511"/>
        <item m="1" x="6202"/>
        <item m="1" x="6702"/>
        <item m="1" x="6708"/>
        <item m="1" x="6715"/>
        <item m="1" x="6723"/>
        <item m="1" x="6735"/>
        <item m="1" x="6743"/>
        <item m="1" x="6748"/>
        <item m="1" x="6754"/>
        <item m="1" x="6762"/>
        <item m="1" x="6769"/>
        <item m="1" x="1257"/>
        <item m="1" x="1264"/>
        <item m="1" x="415"/>
        <item m="1" x="425"/>
        <item m="1" x="432"/>
        <item m="1" x="438"/>
        <item m="1" x="443"/>
        <item m="1" x="454"/>
        <item m="1" x="463"/>
        <item m="1" x="469"/>
        <item m="1" x="477"/>
        <item m="1" x="487"/>
        <item m="1" x="7598"/>
        <item m="1" x="7611"/>
        <item m="1" x="7621"/>
        <item m="1" x="7629"/>
        <item m="1" x="7642"/>
        <item m="1" x="7649"/>
        <item m="1" x="7658"/>
        <item m="1" x="7666"/>
        <item m="1" x="7675"/>
        <item m="1" x="7682"/>
        <item m="1" x="6869"/>
        <item m="1" x="6875"/>
        <item m="1" x="6878"/>
        <item m="1" x="6886"/>
        <item m="1" x="6894"/>
        <item m="1" x="6900"/>
        <item m="1" x="6906"/>
        <item m="1" x="6908"/>
        <item m="1" x="3824"/>
        <item m="1" x="3828"/>
        <item m="1" x="3832"/>
        <item m="1" x="3847"/>
        <item m="1" x="3851"/>
        <item m="1" x="3854"/>
        <item m="1" x="3861"/>
        <item m="1" x="7986"/>
        <item m="1" x="7992"/>
        <item m="1" x="3"/>
        <item m="1" x="9"/>
        <item m="1" x="21"/>
        <item m="1" x="29"/>
        <item m="1" x="37"/>
        <item m="1" x="7179"/>
        <item m="1" x="7188"/>
        <item m="1" x="7196"/>
        <item m="1" x="7205"/>
        <item m="1" x="7209"/>
        <item m="1" x="7211"/>
        <item m="1" x="7219"/>
        <item m="1" x="7224"/>
        <item m="1" x="7230"/>
        <item m="1" x="7237"/>
        <item m="1" x="6458"/>
        <item m="1" x="6463"/>
        <item m="1" x="6469"/>
        <item m="1" x="6475"/>
        <item m="1" x="6484"/>
        <item m="1" x="5810"/>
        <item m="1" x="5823"/>
        <item m="1" x="5833"/>
        <item m="1" x="5842"/>
        <item m="1" x="5854"/>
        <item m="1" x="5866"/>
        <item m="1" x="5882"/>
        <item m="1" x="5895"/>
        <item m="1" x="5907"/>
        <item m="1" x="5918"/>
        <item m="1" x="5048"/>
        <item m="1" x="5054"/>
        <item m="1" x="5065"/>
        <item m="1" x="5075"/>
        <item m="1" x="5083"/>
        <item m="1" x="5093"/>
        <item m="1" x="5105"/>
        <item m="1" x="5118"/>
        <item m="1" x="5129"/>
        <item m="1" x="5141"/>
        <item m="1" x="4272"/>
        <item m="1" x="4278"/>
        <item m="1" x="4287"/>
        <item m="1" x="4296"/>
        <item m="1" x="4304"/>
        <item m="1" x="4316"/>
        <item m="1" x="4330"/>
        <item m="1" x="4339"/>
        <item m="1" x="5679"/>
        <item m="1" x="5687"/>
        <item m="1" x="5697"/>
        <item m="1" x="5703"/>
        <item m="1" x="5709"/>
        <item m="1" x="5718"/>
        <item m="1" x="5723"/>
        <item m="1" x="5730"/>
        <item m="1" x="5738"/>
        <item m="1" x="1039"/>
        <item m="1" x="1066"/>
        <item m="1" x="2787"/>
        <item m="1" x="2795"/>
        <item m="1" x="236"/>
        <item m="1" x="924"/>
        <item m="1" x="227"/>
        <item m="1" x="3452"/>
        <item m="1" x="7565"/>
        <item m="1" x="6770"/>
        <item m="1" x="2257"/>
        <item m="1" x="1365"/>
        <item m="1" x="1374"/>
        <item m="1" x="1391"/>
        <item m="1" x="2364"/>
        <item m="1" x="3399"/>
        <item m="1" x="3739"/>
        <item m="1" x="2090"/>
        <item m="1" x="1265"/>
        <item m="1" x="7573"/>
        <item m="1" x="5055"/>
        <item m="1" x="6103"/>
        <item m="1" x="1300"/>
        <item m="1" x="7719"/>
        <item m="1" x="6727"/>
        <item m="1" x="3255"/>
        <item m="1" x="5514"/>
        <item m="1" x="2467"/>
        <item m="1" x="7687"/>
        <item m="1" x="2657"/>
        <item m="1" x="3989"/>
        <item m="1" x="6173"/>
        <item m="1" x="5466"/>
        <item m="1" x="7686"/>
        <item m="1" x="7693"/>
        <item m="1" x="7712"/>
        <item m="1" x="7760"/>
        <item m="1" x="7770"/>
        <item m="1" x="746"/>
        <item m="1" x="7042"/>
        <item m="1" x="416"/>
        <item m="1" x="2828"/>
        <item m="1" x="648"/>
        <item m="1" x="4388"/>
        <item m="1" x="4395"/>
        <item m="1" x="4411"/>
        <item m="1" x="4420"/>
        <item m="1" x="4428"/>
        <item m="1" x="3573"/>
        <item m="1" x="3582"/>
        <item m="1" x="3586"/>
        <item m="1" x="1987"/>
        <item m="1" x="1996"/>
        <item m="1" x="2005"/>
        <item m="1" x="2017"/>
        <item m="1" x="2025"/>
        <item m="1" x="2031"/>
        <item m="1" x="2039"/>
        <item m="1" x="2050"/>
        <item m="1" x="2055"/>
        <item m="1" x="2062"/>
        <item m="1" x="1169"/>
        <item m="1" x="1175"/>
        <item m="1" x="1182"/>
        <item m="1" x="1188"/>
        <item m="1" x="7952"/>
        <item m="1" x="4281"/>
        <item m="1" x="4289"/>
        <item m="1" x="7155"/>
        <item m="1" x="7164"/>
        <item m="1" x="7173"/>
        <item m="1" x="7180"/>
        <item m="1" x="1027"/>
        <item m="1" x="1038"/>
        <item m="1" x="1050"/>
        <item m="1" x="1056"/>
        <item m="1" x="1060"/>
        <item m="1" x="2901"/>
        <item m="1" x="2133"/>
        <item m="1" x="2150"/>
        <item m="1" x="2160"/>
        <item m="1" x="2168"/>
        <item m="1" x="2186"/>
        <item m="1" x="2189"/>
        <item m="1" x="2207"/>
        <item m="1" x="4676"/>
        <item m="1" x="4682"/>
        <item m="1" x="1590"/>
        <item m="1" x="1598"/>
        <item m="1" x="1605"/>
        <item m="1" x="770"/>
        <item m="1" x="775"/>
        <item m="1" x="3592"/>
        <item m="1" x="3603"/>
        <item m="1" x="3610"/>
        <item m="1" x="2653"/>
        <item m="1" x="2658"/>
        <item m="1" x="2668"/>
        <item m="1" x="2682"/>
        <item m="1" x="6774"/>
        <item m="1" x="6784"/>
        <item m="1" x="6791"/>
        <item m="1" x="6796"/>
        <item m="1" x="6807"/>
        <item m="1" x="6812"/>
        <item m="1" x="6821"/>
        <item m="1" x="6831"/>
        <item m="1" x="6257"/>
        <item m="1" x="7890"/>
        <item m="1" x="7897"/>
        <item m="1" x="7909"/>
        <item m="1" x="5678"/>
        <item m="1" x="5682"/>
        <item m="1" x="5690"/>
        <item m="1" x="5700"/>
        <item m="1" x="5707"/>
        <item m="1" x="782"/>
        <item m="1" x="792"/>
        <item m="1" x="803"/>
        <item m="1" x="812"/>
        <item m="1" x="829"/>
        <item m="1" x="847"/>
        <item m="1" x="7979"/>
        <item m="1" x="4875"/>
        <item m="1" x="4885"/>
        <item m="1" x="4045"/>
        <item m="1" x="4050"/>
        <item m="1" x="4055"/>
        <item m="1" x="4061"/>
        <item m="1" x="4068"/>
        <item m="1" x="4073"/>
        <item m="1" x="4080"/>
        <item m="1" x="4083"/>
        <item m="1" x="4089"/>
        <item m="1" x="4096"/>
        <item m="1" x="3316"/>
        <item m="1" x="2718"/>
        <item m="1" x="7443"/>
        <item m="1" x="7243"/>
        <item m="1" x="6783"/>
        <item m="1" x="1174"/>
        <item m="1" x="6287"/>
        <item m="1" x="260"/>
        <item m="1" x="6024"/>
        <item m="1" x="1671"/>
        <item m="1" x="7974"/>
        <item m="1" x="7178"/>
        <item m="1" x="4217"/>
        <item m="1" x="1848"/>
        <item m="1" x="7261"/>
        <item m="1" x="3384"/>
        <item m="1" x="15"/>
        <item m="1" x="3004"/>
        <item m="1" x="3016"/>
        <item m="1" x="1040"/>
        <item m="1" x="5668"/>
        <item m="1" x="1799"/>
        <item m="1" x="5753"/>
        <item m="1" x="3471"/>
        <item m="1" x="1881"/>
        <item m="1" x="675"/>
        <item m="1" x="7876"/>
        <item m="1" x="3065"/>
        <item m="1" x="2238"/>
        <item m="1" x="4271"/>
        <item m="1" x="3229"/>
        <item m="1" x="2397"/>
        <item m="1" x="2417"/>
        <item m="1" x="1532"/>
        <item m="1" x="1551"/>
        <item m="1" x="7435"/>
        <item m="1" x="1205"/>
        <item m="1" x="219"/>
        <item m="1" x="226"/>
        <item m="1" x="2956"/>
        <item m="1" x="7129"/>
        <item m="1" x="1611"/>
        <item m="1" x="1618"/>
        <item m="1" x="1625"/>
        <item m="1" x="5755"/>
        <item m="1" x="5234"/>
        <item m="1" x="5186"/>
        <item m="1" x="4379"/>
        <item m="1" x="5505"/>
        <item m="1" x="7664"/>
        <item m="1" x="4149"/>
        <item m="1" x="4160"/>
        <item m="1" x="4177"/>
        <item m="1" x="3433"/>
        <item m="1" x="529"/>
        <item m="1" x="4507"/>
        <item m="1" x="4409"/>
        <item m="1" x="2115"/>
        <item m="1" x="7757"/>
        <item m="1" x="4166"/>
        <item m="1" x="1903"/>
        <item m="1" x="7785"/>
        <item m="1" x="2590"/>
        <item m="1" x="1854"/>
        <item m="1" x="6911"/>
        <item m="1" x="2197"/>
        <item m="1" x="4360"/>
        <item m="1" x="4367"/>
        <item m="1" x="5453"/>
        <item m="1" x="5458"/>
        <item m="1" x="4638"/>
        <item m="1" x="4645"/>
        <item m="1" x="3521"/>
        <item m="1" x="6661"/>
        <item m="1" x="3733"/>
        <item m="1" x="6776"/>
        <item m="1" x="6800"/>
        <item m="1" x="6822"/>
        <item m="1" x="6898"/>
        <item m="1" x="3364"/>
        <item m="1" x="4433"/>
        <item m="1" x="5299"/>
        <item m="1" x="6944"/>
        <item m="1" x="7848"/>
        <item m="1" x="6148"/>
        <item m="1" x="4502"/>
        <item m="1" x="6781"/>
        <item m="1" x="4256"/>
        <item m="1" x="7360"/>
        <item m="1" x="7548"/>
        <item m="1" x="4445"/>
        <item m="1" x="1312"/>
        <item m="1" x="606"/>
        <item m="1" x="2526"/>
        <item m="1" x="7105"/>
        <item m="1" x="4978"/>
        <item m="1" x="3295"/>
        <item m="1" x="7232"/>
        <item m="1" x="3470"/>
        <item m="1" x="5966"/>
        <item m="1" x="4019"/>
        <item m="1" x="1542"/>
        <item m="1" x="1554"/>
        <item m="1" x="7201"/>
        <item m="1" x="2661"/>
        <item m="1" x="5767"/>
        <item m="1" x="5850"/>
        <item m="1" x="7566"/>
        <item m="1" x="1785"/>
        <item m="1" x="5053"/>
        <item m="1" x="5741"/>
        <item m="1" x="7350"/>
        <item m="1" x="6745"/>
        <item m="1" x="6760"/>
        <item m="1" x="2255"/>
        <item m="1" x="2678"/>
        <item m="1" x="2416"/>
        <item m="1" x="7841"/>
        <item m="1" x="7879"/>
        <item m="1" x="4818"/>
        <item m="1" x="4207"/>
        <item m="1" x="4769"/>
        <item m="1" x="914"/>
        <item m="1" x="4194"/>
        <item m="1" x="7467"/>
        <item m="1" x="1888"/>
        <item m="1" x="3315"/>
        <item m="1" x="1706"/>
        <item m="1" x="1930"/>
        <item m="1" x="1092"/>
        <item m="1" x="3689"/>
        <item m="1" x="2595"/>
        <item m="1" x="7389"/>
        <item m="1" x="5076"/>
        <item m="1" x="5313"/>
        <item m="1" x="4670"/>
        <item m="1" x="3965"/>
        <item m="1" x="4236"/>
        <item m="1" x="2563"/>
        <item m="1" x="1718"/>
        <item m="1" x="7487"/>
        <item m="1" x="6340"/>
        <item m="1" x="708"/>
        <item m="1" x="2548"/>
        <item m="1" x="1659"/>
        <item m="1" x="7338"/>
        <item m="1" x="4503"/>
        <item m="1" x="2473"/>
        <item m="1" x="1898"/>
        <item m="1" x="3327"/>
        <item m="1" x="2554"/>
        <item m="1" x="1676"/>
        <item m="1" x="5853"/>
        <item m="1" x="5081"/>
        <item m="1" x="870"/>
        <item m="1" x="4953"/>
        <item m="1" x="4124"/>
        <item m="1" x="4132"/>
        <item m="1" x="5218"/>
        <item m="1" x="4385"/>
        <item m="1" x="4391"/>
        <item m="1" x="6930"/>
        <item m="1" x="6573"/>
        <item m="1" x="7476"/>
        <item m="1" x="5902"/>
        <item m="1" x="4065"/>
        <item m="1" x="6563"/>
        <item m="1" x="5792"/>
        <item m="1" x="7367"/>
        <item m="1" x="791"/>
        <item m="1" x="3404"/>
        <item m="1" x="706"/>
        <item m="1" x="2836"/>
        <item m="1" x="1839"/>
        <item m="1" x="1001"/>
        <item m="1" x="5691"/>
        <item m="1" x="1886"/>
        <item m="1" x="3570"/>
        <item m="1" x="875"/>
        <item m="1" x="96"/>
        <item m="1" x="3410"/>
        <item m="1" x="356"/>
        <item m="1" x="3347"/>
        <item m="1" x="4336"/>
        <item m="1" x="2560"/>
        <item m="1" x="4033"/>
        <item m="1" x="6080"/>
        <item m="1" x="4070"/>
        <item m="1" x="3388"/>
        <item m="1" x="7267"/>
        <item m="1" x="3652"/>
        <item m="1" x="338"/>
        <item m="1" x="7514"/>
        <item m="1" x="7613"/>
        <item m="1" x="7645"/>
        <item m="1" x="6895"/>
        <item m="1" x="3481"/>
        <item m="1" x="2002"/>
        <item m="1" x="895"/>
        <item m="1" x="1464"/>
        <item m="1" x="7862"/>
        <item m="1" x="7872"/>
        <item m="1" x="7877"/>
        <item m="1" x="5626"/>
        <item m="1" x="4383"/>
        <item m="1" x="6578"/>
        <item m="1" x="5005"/>
        <item m="1" x="5047"/>
        <item m="1" x="7368"/>
        <item m="1" x="1786"/>
        <item m="1" x="178"/>
        <item m="1" x="213"/>
        <item m="1" x="4979"/>
        <item m="1" x="4837"/>
        <item m="1" x="2596"/>
        <item m="1" x="232"/>
        <item m="1" x="4657"/>
        <item m="1" x="645"/>
        <item m="1" x="5043"/>
        <item m="1" x="2824"/>
        <item m="1" x="460"/>
        <item m="1" x="2012"/>
        <item m="1" x="6643"/>
        <item m="1" x="6757"/>
        <item m="1" x="417"/>
        <item m="1" x="3935"/>
        <item m="1" x="3942"/>
        <item m="1" x="3948"/>
        <item m="1" x="3954"/>
        <item m="1" x="3961"/>
        <item m="1" x="3971"/>
        <item m="1" x="3977"/>
        <item m="1" x="5383"/>
        <item m="1" x="5389"/>
        <item m="1" x="5396"/>
        <item m="1" x="5404"/>
        <item m="1" x="5412"/>
        <item m="1" x="5421"/>
        <item m="1" x="4887"/>
        <item m="1" x="4896"/>
        <item m="1" x="4902"/>
        <item m="1" x="4912"/>
        <item m="1" x="4920"/>
        <item m="1" x="4926"/>
        <item m="1" x="4931"/>
        <item m="1" x="6284"/>
        <item m="1" x="6291"/>
        <item m="1" x="5528"/>
        <item m="1" x="5535"/>
        <item m="1" x="5540"/>
        <item m="1" x="5549"/>
        <item m="1" x="5560"/>
        <item m="1" x="5565"/>
        <item m="1" x="4893"/>
        <item m="1" x="7983"/>
        <item m="1" x="5982"/>
        <item m="1" x="5815"/>
        <item m="1" x="3657"/>
        <item m="1" x="6179"/>
        <item m="1" x="6189"/>
        <item m="1" x="2862"/>
        <item m="1" x="3848"/>
        <item m="1" x="3093"/>
        <item m="1" x="7066"/>
        <item m="1" x="5008"/>
        <item m="1" x="1846"/>
        <item m="1" x="7439"/>
        <item m="1" x="6689"/>
        <item m="1" x="1649"/>
        <item m="1" x="74"/>
        <item m="1" x="6518"/>
        <item m="1" x="6332"/>
        <item m="1" x="4783"/>
        <item m="1" x="1606"/>
        <item m="1" x="2536"/>
        <item m="1" x="3770"/>
        <item m="1" x="6864"/>
        <item m="1" x="3498"/>
        <item m="1" x="3628"/>
        <item m="1" x="1072"/>
        <item m="1" x="2354"/>
        <item m="1" x="6042"/>
        <item m="1" x="4299"/>
        <item m="1" x="4735"/>
        <item m="1" x="2644"/>
        <item m="1" x="106"/>
        <item m="1" x="7889"/>
        <item m="1" x="5802"/>
        <item m="1" x="5809"/>
        <item m="1" x="6713"/>
        <item m="1" x="2564"/>
        <item m="1" x="3413"/>
        <item m="1" x="6676"/>
        <item m="1" x="5728"/>
        <item m="1" x="7946"/>
        <item m="1" x="2221"/>
        <item m="1" x="553"/>
        <item m="1" x="7860"/>
        <item m="1" x="514"/>
        <item m="1" x="1651"/>
        <item m="1" x="1556"/>
        <item m="1" x="730"/>
        <item m="1" x="3338"/>
        <item m="1" x="2582"/>
        <item m="1" x="1776"/>
        <item m="1" x="2437"/>
        <item m="1" x="5164"/>
        <item m="1" x="900"/>
        <item m="1" x="3430"/>
        <item m="1" x="1042"/>
        <item m="1" x="2538"/>
        <item m="1" x="828"/>
        <item m="1" x="307"/>
        <item m="1" x="5179"/>
        <item m="1" x="4410"/>
        <item m="1" x="4419"/>
        <item m="1" x="3150"/>
        <item m="1" x="3901"/>
        <item m="1" x="7269"/>
        <item m="1" x="5921"/>
        <item m="1" x="2885"/>
        <item m="1" x="116"/>
        <item m="1" x="5922"/>
        <item m="1" x="613"/>
        <item m="1" x="5381"/>
        <item m="1" x="5401"/>
        <item m="1" x="7163"/>
        <item m="1" x="4747"/>
        <item m="1" x="4778"/>
        <item m="1" x="5377"/>
        <item m="1" x="745"/>
        <item m="1" x="751"/>
        <item m="1" x="758"/>
        <item m="1" x="762"/>
        <item m="1" x="771"/>
        <item m="1" x="776"/>
        <item m="1" x="783"/>
        <item m="1" x="793"/>
        <item m="1" x="6260"/>
        <item m="1" x="6706"/>
        <item m="1" x="6095"/>
        <item m="1" x="6097"/>
        <item m="1" x="6100"/>
        <item m="1" x="6106"/>
        <item m="1" x="6115"/>
        <item m="1" x="6120"/>
        <item m="1" x="6126"/>
        <item m="1" x="6133"/>
        <item m="1" x="819"/>
        <item m="1" x="826"/>
        <item m="1" x="833"/>
        <item m="1" x="7969"/>
        <item m="1" x="7976"/>
        <item m="1" x="7985"/>
        <item m="1" x="8"/>
        <item m="1" x="20"/>
        <item m="1" x="28"/>
        <item m="1" x="35"/>
        <item m="1" x="42"/>
        <item m="1" x="6154"/>
        <item m="1" x="6492"/>
        <item m="1" x="6501"/>
        <item m="1" x="6510"/>
        <item m="1" x="6516"/>
        <item m="1" x="6525"/>
        <item m="1" x="6536"/>
        <item m="1" x="6544"/>
        <item m="1" x="6549"/>
        <item m="1" x="6557"/>
        <item m="1" x="4965"/>
        <item m="1" x="4972"/>
        <item m="1" x="4977"/>
        <item m="1" x="4986"/>
        <item m="1" x="4993"/>
        <item m="1" x="5000"/>
        <item m="1" x="4214"/>
        <item m="1" x="4223"/>
        <item m="1" x="4251"/>
        <item m="1" x="3440"/>
        <item m="1" x="3447"/>
        <item m="1" x="3454"/>
        <item m="1" x="3461"/>
        <item m="1" x="3469"/>
        <item m="1" x="3472"/>
        <item m="1" x="3482"/>
        <item m="1" x="3487"/>
        <item m="1" x="3492"/>
        <item m="1" x="2683"/>
        <item m="1" x="2693"/>
        <item m="1" x="2704"/>
        <item m="1" x="2714"/>
        <item m="1" x="2720"/>
        <item m="1" x="2728"/>
        <item m="1" x="2733"/>
        <item m="1" x="2741"/>
        <item m="1" x="2745"/>
        <item m="1" x="1835"/>
        <item m="1" x="1844"/>
        <item m="1" x="1857"/>
        <item m="1" x="1864"/>
        <item m="1" x="1869"/>
        <item m="1" x="1877"/>
        <item m="1" x="1887"/>
        <item m="1" x="1900"/>
        <item m="1" x="1905"/>
        <item m="1" x="1908"/>
        <item m="1" x="1062"/>
        <item m="1" x="1076"/>
        <item m="1" x="1083"/>
        <item m="1" x="1090"/>
        <item m="1" x="1095"/>
        <item m="1" x="1105"/>
        <item m="1" x="3754"/>
        <item m="1" x="3758"/>
        <item m="1" x="3763"/>
        <item m="1" x="2989"/>
        <item m="1" x="2993"/>
        <item m="1" x="3001"/>
        <item m="1" x="3012"/>
        <item m="1" x="3015"/>
        <item m="1" x="3021"/>
        <item m="1" x="3031"/>
        <item m="1" x="3036"/>
        <item m="1" x="5561"/>
        <item m="1" x="3912"/>
        <item m="1" x="2408"/>
        <item m="1" x="4190"/>
        <item m="1" x="4850"/>
        <item m="1" x="1631"/>
        <item m="1" x="6079"/>
        <item m="1" x="3340"/>
        <item m="1" x="3228"/>
        <item m="1" x="2556"/>
        <item m="1" x="4785"/>
        <item m="1" x="5752"/>
        <item m="1" x="6539"/>
        <item m="1" x="5812"/>
        <item m="1" x="4985"/>
        <item m="1" x="5804"/>
        <item m="1" x="2249"/>
        <item m="1" x="2008"/>
        <item m="1" x="3774"/>
        <item m="1" x="5114"/>
        <item m="1" x="5219"/>
        <item m="1" x="1121"/>
        <item m="1" x="3072"/>
        <item m="1" x="724"/>
        <item m="1" x="1855"/>
        <item m="1" x="3996"/>
        <item m="1" x="5714"/>
        <item m="1" x="6543"/>
        <item m="1" x="2498"/>
        <item m="1" x="2984"/>
        <item m="1" x="4224"/>
        <item m="1" x="3446"/>
        <item m="1" x="4203"/>
        <item m="1" x="3435"/>
        <item m="1" x="6981"/>
        <item m="1" x="5237"/>
        <item m="1" x="5243"/>
        <item m="1" x="5250"/>
        <item m="1" x="5260"/>
        <item m="1" x="5263"/>
        <item m="1" x="4009"/>
        <item m="1" x="3207"/>
        <item m="1" x="1258"/>
        <item m="1" x="937"/>
        <item m="1" x="990"/>
        <item m="1" x="4210"/>
        <item m="1" x="4218"/>
        <item m="1" x="3417"/>
        <item m="1" x="2181"/>
        <item m="1" x="2487"/>
        <item m="1" x="6524"/>
        <item m="1" x="820"/>
        <item m="1" x="839"/>
        <item m="1" x="6565"/>
        <item m="1" x="4264"/>
        <item m="1" x="3490"/>
        <item m="1" x="2512"/>
        <item m="1" x="5010"/>
        <item m="1" x="4195"/>
        <item m="1" x="3426"/>
        <item m="1" x="4559"/>
        <item m="1" x="2176"/>
        <item m="1" x="2279"/>
        <item m="1" x="1423"/>
        <item m="1" x="4786"/>
        <item m="1" x="3970"/>
        <item m="1" x="4072"/>
        <item m="1" x="4112"/>
        <item m="1" x="4179"/>
        <item m="1" x="5384"/>
        <item m="1" x="5597"/>
        <item m="1" x="7244"/>
        <item m="1" x="5378"/>
        <item m="1" x="1008"/>
        <item m="1" x="2618"/>
        <item m="1" x="882"/>
        <item m="1" x="6823"/>
        <item m="1" x="581"/>
        <item m="1" x="3249"/>
        <item m="1" x="4506"/>
        <item m="1" x="1212"/>
        <item m="1" x="7384"/>
        <item m="1" x="5246"/>
        <item m="1" x="7193"/>
        <item m="1" x="5829"/>
        <item m="1" x="5874"/>
        <item m="1" x="7447"/>
        <item m="1" x="7450"/>
        <item m="1" x="6558"/>
        <item m="1" x="3554"/>
        <item m="1" x="872"/>
        <item m="1" x="879"/>
        <item m="1" x="4881"/>
        <item m="1" x="2414"/>
        <item m="1" x="4007"/>
        <item m="1" x="3639"/>
        <item m="1" x="322"/>
        <item m="1" x="6879"/>
        <item m="1" x="7364"/>
        <item m="1" x="6317"/>
        <item m="1" x="6211"/>
        <item m="1" x="1061"/>
        <item m="1" x="3543"/>
        <item m="1" x="5264"/>
        <item m="1" x="4830"/>
        <item m="1" x="3359"/>
        <item m="1" x="5028"/>
        <item m="1" x="2793"/>
        <item m="1" x="1647"/>
        <item m="1" x="2193"/>
        <item m="1" x="5964"/>
        <item m="1" x="2604"/>
        <item m="1" x="5491"/>
        <item m="1" x="5534"/>
        <item m="1" x="1543"/>
        <item m="1" x="7503"/>
        <item m="1" x="3085"/>
        <item m="1" x="2303"/>
        <item m="1" x="3330"/>
        <item m="1" x="873"/>
        <item m="1" x="4075"/>
        <item m="1" x="7076"/>
        <item m="1" x="7308"/>
        <item m="1" x="4956"/>
        <item m="1" x="3710"/>
        <item m="1" x="7455"/>
        <item m="1" x="4331"/>
        <item m="1" x="5484"/>
        <item m="1" x="1974"/>
        <item m="1" x="6561"/>
        <item m="1" x="6568"/>
        <item m="1" x="5124"/>
        <item m="1" x="2789"/>
        <item m="1" x="3985"/>
        <item m="1" x="4193"/>
        <item m="1" x="5009"/>
        <item m="1" x="7259"/>
        <item m="1" x="5945"/>
        <item m="1" x="6537"/>
        <item m="1" x="2959"/>
        <item m="1" x="1524"/>
        <item m="1" x="761"/>
        <item m="1" x="618"/>
        <item m="1" x="1794"/>
        <item m="1" x="6238"/>
        <item m="1" x="1572"/>
        <item m="1" x="1587"/>
        <item m="1" x="5719"/>
        <item m="1" x="4436"/>
        <item m="1" x="6142"/>
        <item m="1" x="368"/>
        <item m="1" x="1229"/>
        <item m="1" x="7290"/>
        <item m="1" x="7303"/>
        <item m="1" x="1145"/>
        <item m="1" x="3751"/>
        <item m="1" x="2401"/>
        <item m="1" x="2573"/>
        <item m="1" x="3706"/>
        <item m="1" x="5526"/>
        <item m="1" x="3724"/>
        <item m="1" x="3730"/>
        <item m="1" x="3113"/>
        <item m="1" x="3546"/>
        <item m="1" x="4439"/>
        <item m="1" x="4448"/>
        <item m="1" x="5951"/>
        <item m="1" x="273"/>
        <item m="1" x="7591"/>
        <item m="1" x="1390"/>
        <item m="1" x="6701"/>
        <item m="1" x="5932"/>
        <item m="1" x="4286"/>
        <item m="1" x="4347"/>
        <item m="1" x="357"/>
        <item m="1" x="360"/>
        <item m="1" x="5944"/>
        <item m="1" x="7275"/>
        <item m="1" x="5803"/>
        <item m="1" x="4248"/>
        <item m="1" x="6030"/>
        <item m="1" x="6662"/>
        <item m="1" x="5200"/>
        <item m="1" x="5428"/>
        <item m="1" x="3029"/>
        <item m="1" x="6700"/>
        <item m="1" x="6091"/>
        <item m="1" x="3192"/>
        <item m="1" x="6044"/>
        <item m="1" x="5256"/>
        <item m="1" x="6579"/>
        <item m="1" x="5917"/>
        <item m="1" x="5498"/>
        <item m="1" x="3938"/>
        <item m="1" x="4654"/>
        <item m="1" x="6817"/>
        <item m="1" x="4567"/>
        <item m="1" x="1058"/>
        <item m="1" x="7652"/>
        <item m="1" x="3994"/>
        <item m="1" x="5238"/>
        <item m="1" x="5269"/>
        <item m="1" x="7699"/>
        <item m="1" x="7728"/>
        <item m="1" x="6928"/>
        <item m="1" x="6936"/>
        <item m="1" x="4699"/>
        <item m="1" x="3856"/>
        <item m="1" x="3117"/>
        <item m="1" x="2205"/>
        <item m="1" x="5517"/>
        <item m="1" x="3421"/>
        <item m="1" x="3441"/>
        <item m="1" x="7299"/>
        <item m="1" x="3536"/>
        <item m="1" x="6264"/>
        <item m="1" x="5537"/>
        <item m="1" x="3509"/>
        <item m="1" x="3534"/>
        <item m="1" x="2060"/>
        <item m="1" x="1761"/>
        <item m="1" x="1689"/>
        <item m="1" x="4776"/>
        <item m="1" x="7559"/>
        <item m="1" x="6830"/>
        <item m="1" x="6961"/>
        <item m="1" x="5822"/>
        <item m="1" x="3768"/>
        <item m="1" x="2920"/>
        <item m="1" x="1393"/>
        <item m="1" x="3860"/>
        <item m="1" x="7123"/>
        <item m="1" x="630"/>
        <item m="1" x="3826"/>
        <item m="1" x="684"/>
        <item m="1" x="6782"/>
        <item m="1" x="1528"/>
        <item m="1" x="3045"/>
        <item m="1" x="5734"/>
        <item m="1" x="1064"/>
        <item m="1" x="87"/>
        <item m="1" x="2837"/>
        <item m="1" x="610"/>
        <item m="1" x="4047"/>
        <item m="1" x="7653"/>
        <item m="1" x="4511"/>
        <item m="1" x="7135"/>
        <item m="1" x="4375"/>
        <item m="1" x="7966"/>
        <item m="1" x="5529"/>
        <item m="1" x="4886"/>
        <item m="1" x="5978"/>
        <item m="1" x="3189"/>
        <item m="1" x="1400"/>
        <item m="1" x="1466"/>
        <item m="1" x="7602"/>
        <item m="1" x="1515"/>
        <item m="1" x="1465"/>
        <item m="1" x="4661"/>
        <item m="1" x="6450"/>
        <item m="1" x="5891"/>
        <item m="1" x="7352"/>
        <item m="1" x="4876"/>
        <item m="1" x="1342"/>
        <item m="1" x="4740"/>
        <item m="1" x="6530"/>
        <item m="1" x="5612"/>
        <item m="1" x="3605"/>
        <item m="1" x="4664"/>
        <item m="1" x="5658"/>
        <item m="1" x="6824"/>
        <item m="1" x="3479"/>
        <item m="1" x="7089"/>
        <item m="1" x="2533"/>
        <item m="1" x="6446"/>
        <item m="1" x="7377"/>
        <item m="1" x="3473"/>
        <item m="1" x="3344"/>
        <item m="1" x="2589"/>
        <item m="1" x="2424"/>
        <item m="1" x="7836"/>
        <item m="1" x="6923"/>
        <item m="1" x="3778"/>
        <item m="1" x="3629"/>
        <item m="1" x="6451"/>
        <item m="1" x="1469"/>
        <item m="1" x="5258"/>
        <item m="1" x="6435"/>
        <item m="1" x="6375"/>
        <item m="1" x="296"/>
        <item m="1" x="301"/>
        <item m="1" x="311"/>
        <item m="1" x="321"/>
        <item m="1" x="326"/>
        <item m="1" x="4212"/>
        <item m="1" x="4220"/>
        <item m="1" x="4227"/>
        <item m="1" x="4240"/>
        <item m="1" x="861"/>
        <item m="1" x="2385"/>
        <item m="1" x="2394"/>
        <item m="1" x="2400"/>
        <item m="1" x="2406"/>
        <item m="1" x="1491"/>
        <item m="1" x="1498"/>
        <item m="1" x="1501"/>
        <item m="1" x="1506"/>
        <item m="1" x="1589"/>
        <item m="1" x="1596"/>
        <item m="1" x="1604"/>
        <item m="1" x="1620"/>
        <item m="1" x="1627"/>
        <item m="1" x="3104"/>
        <item m="1" x="3109"/>
        <item m="1" x="3116"/>
        <item m="1" x="3124"/>
        <item m="1" x="3156"/>
        <item m="1" x="2291"/>
        <item m="1" x="2300"/>
        <item m="1" x="2309"/>
        <item m="1" x="2319"/>
        <item m="1" x="2329"/>
        <item m="1" x="1441"/>
        <item m="1" x="1447"/>
        <item m="1" x="1455"/>
        <item m="1" x="1479"/>
        <item m="1" x="1496"/>
        <item m="1" x="1932"/>
        <item m="1" x="1937"/>
        <item m="1" x="1944"/>
        <item m="1" x="1955"/>
        <item m="1" x="1962"/>
        <item m="1" x="1973"/>
        <item m="1" x="1983"/>
        <item m="1" x="1991"/>
        <item m="1" x="1998"/>
        <item m="1" x="2009"/>
        <item m="1" x="3394"/>
        <item m="1" x="3401"/>
        <item m="1" x="3408"/>
        <item m="1" x="3463"/>
        <item m="1" x="2633"/>
        <item m="1" x="2645"/>
        <item m="1" x="2654"/>
        <item m="1" x="2662"/>
        <item m="1" x="2672"/>
        <item m="1" x="2686"/>
        <item m="1" x="2699"/>
        <item m="1" x="2706"/>
        <item m="1" x="4017"/>
        <item m="1" x="3296"/>
        <item m="1" x="6256"/>
        <item m="1" x="5045"/>
        <item m="1" x="4138"/>
        <item m="1" x="2681"/>
        <item m="1" x="763"/>
        <item m="1" x="2374"/>
        <item m="1" x="2380"/>
        <item m="1" x="7175"/>
        <item m="1" x="1612"/>
        <item m="1" x="7317"/>
        <item m="1" x="733"/>
        <item m="1" x="3133"/>
        <item m="1" x="3136"/>
        <item m="1" x="3141"/>
        <item m="1" x="3145"/>
        <item m="1" x="7932"/>
        <item m="1" x="2340"/>
        <item m="1" x="2351"/>
        <item m="1" x="2355"/>
        <item m="1" x="2366"/>
        <item m="1" x="1460"/>
        <item m="1" x="1471"/>
        <item m="1" x="1489"/>
        <item m="1" x="7601"/>
        <item m="1" x="1093"/>
        <item m="1" x="2637"/>
        <item m="1" x="6201"/>
        <item m="1" x="5477"/>
        <item m="1" x="23"/>
        <item m="1" x="6158"/>
        <item m="1" x="5512"/>
        <item m="1" x="3905"/>
        <item m="1" x="3174"/>
        <item m="1" x="3181"/>
        <item m="1" x="7498"/>
        <item m="1" x="3060"/>
        <item m="1" x="3139"/>
        <item m="1" x="7906"/>
        <item m="1" x="2944"/>
        <item m="1" x="341"/>
        <item m="1" x="345"/>
        <item m="1" x="387"/>
        <item m="1" x="396"/>
        <item m="1" x="7551"/>
        <item m="1" x="6274"/>
        <item m="1" x="3208"/>
        <item m="1" x="5519"/>
        <item m="1" x="1557"/>
        <item m="1" x="3698"/>
        <item m="1" x="384"/>
        <item m="1" x="7595"/>
        <item m="1" x="7637"/>
        <item m="1" x="668"/>
        <item m="1" x="7048"/>
        <item m="1" x="7063"/>
        <item m="1" x="7743"/>
        <item m="1" x="7944"/>
        <item m="1" x="2597"/>
        <item m="1" x="128"/>
        <item m="1" x="4574"/>
        <item m="1" x="3792"/>
        <item m="1" x="589"/>
        <item m="1" x="877"/>
        <item m="1" x="1873"/>
        <item m="1" x="6084"/>
        <item m="1" x="4538"/>
        <item m="1" x="3699"/>
        <item m="1" x="3707"/>
        <item m="1" x="7737"/>
        <item m="1" x="6918"/>
        <item m="1" x="2474"/>
        <item m="1" x="1443"/>
        <item m="1" x="7863"/>
        <item m="1" x="1338"/>
        <item m="1" x="5661"/>
        <item m="1" x="5669"/>
        <item m="1" x="4515"/>
        <item m="1" x="2911"/>
        <item m="1" x="1213"/>
        <item m="1" x="4586"/>
        <item m="1" x="2149"/>
        <item m="1" x="6804"/>
        <item m="1" x="6828"/>
        <item m="1" x="6220"/>
        <item m="1" x="3842"/>
        <item m="1" x="2200"/>
        <item m="1" x="6335"/>
        <item m="1" x="6251"/>
        <item m="1" x="5492"/>
        <item m="1" x="3886"/>
        <item m="1" x="3186"/>
        <item m="1" x="4114"/>
        <item m="1" x="3361"/>
        <item m="1" x="2593"/>
        <item m="1" x="1749"/>
        <item m="1" x="5950"/>
        <item m="1" x="5973"/>
        <item m="1" x="4329"/>
        <item m="1" x="6184"/>
        <item m="1" x="4592"/>
        <item m="1" x="2261"/>
        <item m="1" x="528"/>
        <item m="1" x="4660"/>
        <item m="1" x="2726"/>
        <item m="1" x="6753"/>
        <item m="1" x="5287"/>
        <item m="1" x="4449"/>
        <item m="1" x="4456"/>
        <item m="1" x="4471"/>
        <item m="1" x="523"/>
        <item m="1" x="1160"/>
        <item m="1" x="1168"/>
        <item m="1" x="7558"/>
        <item m="1" x="7569"/>
        <item m="1" x="4693"/>
        <item m="1" x="3915"/>
        <item m="1" x="2403"/>
        <item m="1" x="1514"/>
        <item m="1" x="5644"/>
        <item m="1" x="6855"/>
        <item m="1" x="7893"/>
        <item m="1" x="4803"/>
        <item m="1" x="1615"/>
        <item m="1" x="2390"/>
        <item m="1" x="4284"/>
        <item m="1" x="1101"/>
        <item m="1" x="294"/>
        <item m="1" x="4492"/>
        <item m="1" x="2243"/>
        <item m="1" x="1377"/>
        <item m="1" x="907"/>
        <item m="1" x="6586"/>
        <item m="1" x="5228"/>
        <item m="1" x="1417"/>
        <item m="1" x="6912"/>
        <item m="1" x="6938"/>
        <item m="1" x="7922"/>
        <item m="1" x="7965"/>
        <item m="1" x="6301"/>
        <item m="1" x="6313"/>
        <item m="1" x="5553"/>
        <item m="1" x="7539"/>
        <item m="1" x="2671"/>
        <item m="1" x="7738"/>
        <item m="1" x="6976"/>
        <item m="1" x="5676"/>
        <item m="1" x="4088"/>
        <item m="1" x="3367"/>
        <item m="1" x="1956"/>
        <item m="1" x="39"/>
        <item m="1" x="1984"/>
        <item m="1" x="7357"/>
        <item m="1" x="2900"/>
        <item m="1" x="3155"/>
        <item m="1" x="7057"/>
        <item m="1" x="2651"/>
        <item m="1" x="7798"/>
        <item m="1" x="846"/>
        <item m="1" x="866"/>
        <item m="1" x="545"/>
        <item m="1" x="4743"/>
        <item m="1" x="7311"/>
        <item m="1" x="4283"/>
        <item m="1" x="2292"/>
        <item m="1" x="2297"/>
        <item m="1" x="3625"/>
        <item m="1" x="6520"/>
        <item m="1" x="4043"/>
        <item m="1" x="4161"/>
        <item m="1" x="7069"/>
        <item m="1" x="2692"/>
        <item m="1" x="7822"/>
        <item m="1" x="3246"/>
        <item m="1" x="7058"/>
        <item m="1" x="1724"/>
        <item m="1" x="5634"/>
        <item m="1" x="4764"/>
        <item m="1" x="1225"/>
        <item m="1" x="4086"/>
        <item m="1" x="6570"/>
        <item m="1" x="3928"/>
        <item m="1" x="3170"/>
        <item m="1" x="3178"/>
        <item m="1" x="3184"/>
        <item m="1" x="3190"/>
        <item m="1" x="3197"/>
        <item m="1" x="5504"/>
        <item m="1" x="5533"/>
        <item m="1" x="5539"/>
        <item m="1" x="5558"/>
        <item m="1" x="5564"/>
        <item m="1" x="5568"/>
        <item m="1" x="5573"/>
        <item m="1" x="5578"/>
        <item m="1" x="4746"/>
        <item m="1" x="4752"/>
        <item m="1" x="4755"/>
        <item m="1" x="4765"/>
        <item m="1" x="4775"/>
        <item m="1" x="4780"/>
        <item m="1" x="4791"/>
        <item m="1" x="4805"/>
        <item m="1" x="3939"/>
        <item m="1" x="3951"/>
        <item m="1" x="3958"/>
        <item m="1" x="3966"/>
        <item m="1" x="7732"/>
        <item m="1" x="5846"/>
        <item m="1" x="5862"/>
        <item m="1" x="5872"/>
        <item m="1" x="5888"/>
        <item m="1" x="5900"/>
        <item m="1" x="5911"/>
        <item m="1" x="5923"/>
        <item m="1" x="5935"/>
        <item m="1" x="5946"/>
        <item m="1" x="5952"/>
        <item m="1" x="5079"/>
        <item m="1" x="5089"/>
        <item m="1" x="5097"/>
        <item m="1" x="5110"/>
        <item m="1" x="5121"/>
        <item m="1" x="5134"/>
        <item m="1" x="5145"/>
        <item m="1" x="5148"/>
        <item m="1" x="5156"/>
        <item m="1" x="5162"/>
        <item m="1" x="4290"/>
        <item m="1" x="4297"/>
        <item m="1" x="4310"/>
        <item m="1" x="4320"/>
        <item m="1" x="4332"/>
        <item m="1" x="4342"/>
        <item m="1" x="4349"/>
        <item m="1" x="4358"/>
        <item m="1" x="4366"/>
        <item m="1" x="4373"/>
        <item m="1" x="3523"/>
        <item m="1" x="3532"/>
        <item m="1" x="3539"/>
        <item m="1" x="3545"/>
        <item m="1" x="3548"/>
        <item m="1" x="3555"/>
        <item m="1" x="3565"/>
        <item m="1" x="3575"/>
        <item m="1" x="3583"/>
        <item m="1" x="3587"/>
        <item m="1" x="2773"/>
        <item m="1" x="2782"/>
        <item m="1" x="2788"/>
        <item m="1" x="2796"/>
        <item m="1" x="2801"/>
        <item m="1" x="2810"/>
        <item m="1" x="2821"/>
        <item m="1" x="2833"/>
        <item m="1" x="6067"/>
        <item m="1" x="6073"/>
        <item m="1" x="662"/>
        <item m="1" x="7370"/>
        <item m="1" x="5871"/>
        <item m="1" x="1982"/>
        <item m="1" x="5265"/>
        <item m="1" x="6150"/>
        <item m="1" x="5385"/>
        <item m="1" x="2966"/>
        <item m="1" x="7739"/>
        <item m="1" x="1214"/>
        <item m="1" x="5545"/>
        <item m="1" x="4900"/>
        <item m="1" x="968"/>
        <item m="1" x="1006"/>
        <item m="1" x="7502"/>
        <item m="1" x="60"/>
        <item m="1" x="4729"/>
        <item m="1" x="7005"/>
        <item m="1" x="7019"/>
        <item m="1" x="1795"/>
        <item m="1" x="5235"/>
        <item m="1" x="1536"/>
        <item m="1" x="4553"/>
        <item m="1" x="7761"/>
        <item m="1" x="1849"/>
        <item m="1" x="1106"/>
        <item m="1" x="266"/>
        <item m="1" x="4208"/>
        <item m="1" x="4967"/>
        <item m="1" x="5495"/>
        <item m="1" x="1531"/>
        <item m="1" x="7815"/>
        <item m="1" x="2622"/>
        <item m="1" x="7115"/>
        <item m="1" x="3416"/>
        <item m="1" x="5556"/>
        <item m="1" x="1358"/>
        <item m="1" x="2914"/>
        <item m="1" x="2420"/>
        <item m="1" x="859"/>
        <item m="1" x="2135"/>
        <item m="1" x="538"/>
        <item m="1" x="1170"/>
        <item m="1" x="3320"/>
        <item m="1" x="5832"/>
        <item m="1" x="2342"/>
        <item m="1" x="5591"/>
        <item m="1" x="6269"/>
        <item m="1" x="7149"/>
        <item m="1" x="7041"/>
        <item m="1" x="4186"/>
        <item m="1" x="137"/>
        <item m="1" x="2312"/>
        <item m="1" x="6242"/>
        <item m="1" x="4611"/>
        <item m="1" x="5969"/>
        <item m="1" x="3968"/>
        <item m="1" x="6152"/>
        <item m="1" x="7689"/>
        <item m="1" x="2823"/>
        <item m="1" x="4355"/>
        <item m="1" x="5350"/>
        <item m="1" x="6016"/>
        <item m="1" x="6581"/>
        <item m="1" x="1298"/>
        <item m="1" x="1717"/>
        <item m="1" x="6124"/>
        <item m="1" x="4232"/>
        <item m="1" x="6684"/>
        <item m="1" x="6503"/>
        <item m="1" x="2712"/>
        <item m="1" x="5397"/>
        <item m="1" x="6504"/>
        <item m="1" x="3925"/>
        <item m="1" x="5645"/>
        <item m="1" x="2421"/>
        <item m="1" x="2635"/>
        <item m="1" x="6515"/>
        <item m="1" x="7671"/>
        <item m="1" x="6847"/>
        <item m="1" x="7353"/>
        <item m="1" x="7688"/>
        <item m="1" x="7241"/>
        <item m="1" x="6015"/>
        <item m="1" x="1511"/>
        <item m="1" x="7362"/>
        <item m="1" x="6051"/>
        <item m="1" x="4695"/>
        <item m="1" x="1668"/>
        <item m="1" x="1692"/>
        <item m="1" x="4314"/>
        <item m="1" x="4254"/>
        <item m="1" x="4155"/>
        <item m="1" x="1871"/>
        <item m="1" x="3999"/>
        <item m="1" x="5548"/>
        <item m="1" x="2941"/>
        <item m="1" x="1478"/>
        <item m="1" x="3813"/>
        <item m="1" x="5588"/>
        <item m="1" x="6806"/>
        <item m="1" x="3078"/>
        <item m="1" x="2298"/>
        <item m="1" x="854"/>
        <item m="1" x="1655"/>
        <item m="1" x="6548"/>
        <item m="1" x="5984"/>
        <item m="1" x="6004"/>
        <item m="1" x="5039"/>
        <item m="1" x="4099"/>
        <item m="1" x="5855"/>
        <item m="1" x="2778"/>
        <item m="1" x="371"/>
        <item m="1" x="6654"/>
        <item m="1" x="6677"/>
        <item m="1" x="6695"/>
        <item m="1" x="6058"/>
        <item m="1" x="6672"/>
        <item m="1" x="2144"/>
        <item m="1" x="2153"/>
        <item m="1" x="2166"/>
        <item m="1" x="1629"/>
        <item m="1" x="7415"/>
        <item m="1" x="2087"/>
        <item m="1" x="1363"/>
        <item m="1" x="6330"/>
        <item m="1" x="2054"/>
        <item m="1" x="5586"/>
        <item m="1" x="7092"/>
        <item m="1" x="4282"/>
        <item m="1" x="1087"/>
        <item m="1" x="5355"/>
        <item m="1" x="2265"/>
        <item m="1" x="4191"/>
        <item m="1" x="688"/>
        <item m="1" x="4058"/>
        <item m="1" x="3542"/>
        <item m="1" x="2785"/>
        <item m="1" x="6496"/>
        <item m="1" x="7853"/>
        <item m="1" x="2928"/>
        <item m="1" x="541"/>
        <item m="1" x="1399"/>
        <item m="1" x="1444"/>
        <item m="1" x="2427"/>
        <item m="1" x="1588"/>
        <item m="1" x="3819"/>
        <item m="1" x="6078"/>
        <item m="1" x="4491"/>
        <item m="1" x="3685"/>
        <item m="1" x="3321"/>
        <item m="1" x="3326"/>
        <item m="1" x="3331"/>
        <item m="1" x="2506"/>
        <item m="1" x="2513"/>
        <item m="1" x="2518"/>
        <item m="1" x="2524"/>
        <item m="1" x="2532"/>
        <item m="1" x="2537"/>
        <item m="1" x="2546"/>
        <item m="1" x="2550"/>
        <item m="1" x="2555"/>
        <item m="1" x="2559"/>
        <item m="1" x="1638"/>
        <item m="1" x="1648"/>
        <item m="1" x="1657"/>
        <item m="1" x="1664"/>
        <item m="1" x="1673"/>
        <item m="1" x="1680"/>
        <item m="1" x="1688"/>
        <item m="1" x="1698"/>
        <item m="1" x="1705"/>
        <item m="1" x="1710"/>
        <item m="1" x="874"/>
        <item m="1" x="880"/>
        <item m="1" x="885"/>
        <item m="1" x="892"/>
        <item m="1" x="899"/>
        <item m="1" x="905"/>
        <item m="1" x="911"/>
        <item m="1" x="922"/>
        <item m="1" x="929"/>
        <item m="1" x="936"/>
        <item m="1" x="64"/>
        <item m="1" x="72"/>
        <item m="1" x="79"/>
        <item m="1" x="86"/>
        <item m="1" x="92"/>
        <item m="1" x="98"/>
        <item m="1" x="102"/>
        <item m="1" x="107"/>
        <item m="1" x="111"/>
        <item m="1" x="119"/>
        <item m="1" x="6786"/>
        <item m="1" x="6795"/>
        <item m="1" x="6803"/>
        <item m="1" x="6810"/>
        <item m="1" x="6819"/>
        <item m="1" x="6827"/>
        <item m="1" x="4801"/>
        <item m="1" x="3943"/>
        <item m="1" x="3949"/>
        <item m="1" x="3955"/>
        <item m="1" x="3962"/>
        <item m="1" x="3972"/>
        <item m="1" x="3978"/>
        <item m="1" x="3986"/>
        <item m="1" x="3997"/>
        <item m="1" x="4003"/>
        <item m="1" x="7630"/>
        <item m="1" x="4708"/>
        <item m="1" x="5239"/>
        <item m="1" x="3740"/>
        <item m="1" x="4797"/>
        <item m="1" x="7116"/>
        <item m="1" x="6367"/>
        <item m="1" x="6370"/>
        <item m="1" x="7106"/>
        <item m="1" x="5796"/>
        <item m="1" x="3557"/>
        <item m="1" x="1231"/>
        <item m="1" x="6952"/>
        <item m="1" x="6162"/>
        <item m="1" x="3869"/>
        <item m="1" x="1558"/>
        <item m="1" x="5100"/>
        <item m="1" x="2871"/>
        <item m="1" x="507"/>
        <item m="1" x="4883"/>
        <item m="1" x="2647"/>
        <item m="1" x="283"/>
        <item m="1" x="3243"/>
        <item m="1" x="902"/>
        <item m="1" x="6609"/>
        <item m="1" x="5319"/>
        <item m="1" x="3058"/>
        <item m="1" x="692"/>
        <item m="1" x="5127"/>
        <item m="1" x="2888"/>
        <item m="1" x="871"/>
        <item m="1" x="6587"/>
        <item m="1" x="5297"/>
        <item m="1" x="3035"/>
        <item m="1" x="661"/>
        <item m="1" x="4824"/>
        <item m="1" x="2584"/>
        <item m="1" x="217"/>
        <item m="1" x="593"/>
        <item m="1" x="4971"/>
        <item m="1" x="2761"/>
        <item m="1" x="389"/>
        <item m="1" x="1166"/>
        <item m="1" x="6415"/>
        <item m="1" x="4738"/>
        <item m="1" x="7839"/>
        <item m="1" x="427"/>
        <item m="1" x="6365"/>
        <item m="1" x="2631"/>
        <item m="1" x="6351"/>
        <item m="1" x="7940"/>
        <item m="1" x="6379"/>
        <item m="1" x="4392"/>
        <item m="1" x="2103"/>
        <item m="1" x="7748"/>
        <item m="1" x="6348"/>
        <item m="1" x="4152"/>
        <item m="1" x="1893"/>
        <item m="1" x="4761"/>
        <item m="1" x="2531"/>
        <item m="1" x="157"/>
        <item m="1" x="6424"/>
        <item m="1" x="4589"/>
        <item m="1" x="2320"/>
        <item m="1" x="7958"/>
        <item m="1" x="6385"/>
        <item m="1" x="4415"/>
        <item m="1" x="2119"/>
        <item m="1" x="4958"/>
        <item m="1" x="981"/>
        <item m="1" x="172"/>
        <item m="1" x="6426"/>
        <item m="1" x="1610"/>
        <item m="1" x="6442"/>
        <item m="1" x="1527"/>
        <item m="1" x="2444"/>
        <item m="1" x="81"/>
        <item m="1" x="6404"/>
        <item m="1" x="4534"/>
        <item m="1" x="2251"/>
        <item m="1" x="7875"/>
        <item m="1" x="7027"/>
        <item m="1" x="6316"/>
        <item m="1" x="3277"/>
        <item m="1" x="1537"/>
        <item m="1" x="1628"/>
        <item m="1" x="516"/>
        <item m="1" x="7695"/>
        <item m="1" x="7705"/>
        <item m="1" x="1034"/>
        <item m="1" x="1645"/>
        <item m="1" x="876"/>
        <item m="1" x="881"/>
        <item m="1" x="886"/>
        <item m="1" x="894"/>
        <item m="1" x="901"/>
        <item m="1" x="906"/>
        <item m="1" x="913"/>
        <item m="1" x="51"/>
        <item m="1" x="56"/>
        <item m="1" x="61"/>
        <item m="1" x="67"/>
        <item m="1" x="75"/>
        <item m="1" x="82"/>
        <item m="1" x="5617"/>
        <item m="1" x="994"/>
        <item m="1" x="1989"/>
        <item m="1" x="7020"/>
        <item m="1" x="7026"/>
        <item m="1" x="397"/>
        <item m="1" x="404"/>
        <item m="1" x="412"/>
        <item m="1" x="6406"/>
        <item m="1" x="3837"/>
        <item m="1" x="3849"/>
        <item m="1" x="3853"/>
        <item m="1" x="3491"/>
        <item m="1" x="809"/>
        <item m="1" x="7887"/>
        <item m="1" x="6460"/>
        <item m="1" x="546"/>
        <item m="1" x="5465"/>
        <item m="1" x="6395"/>
        <item m="1" x="7474"/>
        <item m="1" x="4759"/>
        <item m="1" x="749"/>
        <item m="1" x="350"/>
        <item m="1" x="362"/>
        <item m="1" x="6851"/>
        <item m="1" x="6433"/>
        <item m="1" x="7393"/>
        <item m="1" x="7713"/>
        <item m="1" x="1643"/>
        <item m="1" x="2739"/>
        <item m="1" x="2769"/>
        <item m="1" x="6362"/>
        <item m="1" x="4302"/>
        <item m="1" x="185"/>
        <item m="1" x="3650"/>
        <item m="1" x="3658"/>
        <item m="1" x="7702"/>
        <item m="1" x="346"/>
        <item m="1" x="4671"/>
        <item m="1" x="3701"/>
        <item m="1" x="5311"/>
        <item m="1" x="2962"/>
        <item m="1" x="1295"/>
        <item m="1" x="473"/>
        <item m="1" x="7681"/>
        <item m="1" x="6891"/>
        <item m="1" x="6248"/>
        <item m="1" x="7530"/>
        <item m="1" x="6279"/>
        <item m="1" x="3924"/>
        <item m="1" x="2719"/>
        <item m="1" x="6731"/>
        <item m="1" x="4691"/>
        <item m="1" x="7780"/>
        <item m="1" x="6280"/>
        <item m="1" x="4770"/>
        <item m="1" x="2426"/>
        <item m="1" x="1570"/>
        <item m="1" x="4832"/>
        <item m="1" x="498"/>
        <item m="1" x="2130"/>
        <item m="1" x="7037"/>
        <item m="1" x="1691"/>
        <item m="1" x="2847"/>
        <item m="1" x="2335"/>
        <item m="1" x="7316"/>
        <item m="1" x="2863"/>
        <item m="1" x="958"/>
        <item m="1" x="3406"/>
        <item m="1" x="7892"/>
        <item m="1" x="6429"/>
        <item m="1" x="1970"/>
        <item m="1" x="4117"/>
        <item m="1" x="945"/>
        <item m="1" x="6625"/>
        <item m="1" x="3289"/>
        <item m="1" x="2527"/>
        <item m="1" x="1752"/>
        <item m="1" x="3419"/>
        <item m="1" x="3284"/>
        <item m="1" x="6873"/>
        <item m="1" x="6352"/>
        <item m="1" x="1633"/>
        <item m="1" x="808"/>
        <item m="1" x="2979"/>
        <item m="1" x="379"/>
        <item m="1" x="1252"/>
        <item m="1" x="1290"/>
        <item m="1" x="2675"/>
        <item m="1" x="1790"/>
        <item m="1" x="2877"/>
        <item m="1" x="4521"/>
        <item m="1" x="1276"/>
        <item m="1" x="6939"/>
        <item m="1" x="2503"/>
        <item m="1" x="1670"/>
        <item m="1" x="2626"/>
        <item m="1" x="1108"/>
        <item m="1" x="3389"/>
        <item m="1" x="1929"/>
        <item m="1" x="1150"/>
        <item m="1" x="328"/>
        <item m="1" x="4575"/>
        <item m="1" x="6734"/>
        <item m="1" x="6185"/>
        <item m="1" x="6227"/>
        <item m="1" x="5423"/>
        <item m="1" x="5429"/>
        <item m="1" x="7617"/>
        <item m="1" x="5368"/>
        <item m="1" x="6430"/>
        <item m="1" x="2412"/>
        <item m="1" x="6354"/>
        <item m="1" x="7918"/>
        <item m="1" x="2912"/>
        <item m="1" x="6441"/>
        <item m="1" x="4673"/>
        <item m="1" x="4760"/>
        <item m="1" x="3923"/>
        <item m="1" x="7068"/>
        <item m="1" x="5903"/>
        <item m="1" x="5936"/>
        <item m="1" x="2803"/>
        <item m="1" x="2834"/>
        <item m="1" x="6421"/>
        <item m="1" x="5358"/>
        <item m="1" x="3083"/>
        <item m="1" x="2247"/>
        <item m="1" x="3655"/>
        <item m="1" x="1226"/>
        <item m="1" x="378"/>
        <item m="1" x="4001"/>
        <item m="1" x="2592"/>
        <item m="1" x="7228"/>
        <item m="1" x="6507"/>
        <item m="1" x="7606"/>
        <item m="1" x="6204"/>
        <item m="1" x="4679"/>
        <item m="1" x="7221"/>
        <item m="1" x="7245"/>
        <item m="1" x="197"/>
        <item m="1" x="6055"/>
        <item m="1" x="6065"/>
        <item m="1" x="4528"/>
        <item m="1" x="3728"/>
        <item m="1" x="2157"/>
        <item m="1" x="5863"/>
        <item m="1" x="5925"/>
        <item m="1" x="1860"/>
        <item m="1" x="2562"/>
        <item m="1" x="6767"/>
        <item m="1" x="4748"/>
        <item m="1" x="6968"/>
        <item m="1" x="4880"/>
        <item m="1" x="3090"/>
        <item m="1" x="3188"/>
        <item m="1" x="2514"/>
        <item m="1" x="6349"/>
        <item m="1" x="1520"/>
        <item m="1" x="5191"/>
        <item m="1" x="651"/>
        <item m="1" x="7083"/>
        <item m="1" x="3339"/>
        <item m="1" x="7222"/>
        <item m="1" x="5136"/>
        <item m="1" x="5176"/>
        <item m="1" x="4363"/>
        <item m="1" x="5554"/>
        <item m="1" x="4951"/>
        <item m="1" x="4170"/>
        <item m="1" x="4187"/>
        <item m="1" x="2698"/>
        <item m="1" x="2710"/>
        <item m="1" x="7272"/>
        <item m="1" x="1526"/>
        <item m="1" x="1614"/>
        <item m="1" x="24"/>
        <item m="1" x="6540"/>
        <item m="1" x="1934"/>
        <item m="1" x="364"/>
        <item m="1" x="6427"/>
        <item m="1" x="6547"/>
        <item m="1" x="4632"/>
        <item m="1" x="3807"/>
        <item m="1" x="491"/>
        <item m="1" x="518"/>
        <item m="1" x="5500"/>
        <item m="1" x="7322"/>
        <item m="1" x="6657"/>
        <item m="1" x="6418"/>
        <item m="1" x="2798"/>
        <item m="1" x="6357"/>
        <item m="1" x="4158"/>
        <item m="1" x="2614"/>
        <item m="1" x="2620"/>
        <item m="1" x="2445"/>
        <item m="1" x="1107"/>
        <item m="1" x="1125"/>
        <item m="1" x="308"/>
        <item m="1" x="377"/>
        <item m="1" x="1102"/>
        <item m="1" x="4523"/>
        <item m="1" x="7975"/>
        <item m="1" x="5742"/>
        <item m="1" x="799"/>
        <item m="1" x="6206"/>
        <item m="1" x="6019"/>
        <item m="1" x="3332"/>
        <item m="1" x="3518"/>
        <item m="1" x="333"/>
        <item m="1" x="6182"/>
        <item m="1" x="3131"/>
        <item m="1" x="4520"/>
        <item m="1" x="2010"/>
        <item m="1" x="7592"/>
        <item m="1" x="6858"/>
        <item m="1" x="625"/>
        <item m="1" x="7787"/>
        <item m="1" x="478"/>
        <item m="1" x="503"/>
        <item m="1" x="7690"/>
        <item m="1" x="1054"/>
        <item m="1" x="6049"/>
        <item m="1" x="6764"/>
        <item m="1" x="7696"/>
        <item m="1" x="2781"/>
        <item m="1" x="7533"/>
        <item m="1" x="6128"/>
        <item m="1" x="6214"/>
        <item m="1" x="4711"/>
        <item m="1" x="3070"/>
        <item m="1" x="2271"/>
        <item m="1" x="641"/>
        <item m="1" x="231"/>
        <item m="1" x="2987"/>
        <item m="1" x="414"/>
        <item m="1" x="6868"/>
        <item m="1" x="6252"/>
        <item m="1" x="2263"/>
        <item m="1" x="5599"/>
        <item m="1" x="4919"/>
        <item m="1" x="6089"/>
        <item m="1" x="3725"/>
        <item m="1" x="6233"/>
        <item m="1" x="5503"/>
        <item m="1" x="6443"/>
        <item m="1" x="5414"/>
        <item m="1" x="2876"/>
        <item m="1" x="1980"/>
        <item m="1" x="6422"/>
        <item m="1" x="5289"/>
        <item m="1" x="7764"/>
        <item m="1" x="7348"/>
        <item m="1" x="6669"/>
        <item m="1" x="34"/>
        <item m="1" x="1273"/>
        <item m="1" x="7907"/>
        <item m="1" x="985"/>
        <item m="1" x="3549"/>
        <item m="1" x="7365"/>
        <item m="1" x="5780"/>
        <item m="1" x="6356"/>
        <item m="1" x="4221"/>
        <item m="1" x="1942"/>
        <item m="1" x="7610"/>
        <item m="1" x="6288"/>
        <item m="1" x="4023"/>
        <item m="1" x="1728"/>
        <item m="1" x="7409"/>
        <item m="1" x="4827"/>
        <item m="1" x="5929"/>
        <item m="1" x="5695"/>
        <item m="1" x="1841"/>
        <item m="1" x="923"/>
        <item m="1" x="5657"/>
        <item m="1" x="5681"/>
        <item m="1" x="1909"/>
        <item m="1" x="6589"/>
        <item m="1" x="5227"/>
        <item m="1" x="5455"/>
        <item m="1" x="3873"/>
        <item m="1" x="3882"/>
        <item m="1" x="5574"/>
        <item m="1" x="2528"/>
        <item m="1" x="2442"/>
        <item m="1" x="4777"/>
        <item m="1" x="3974"/>
        <item m="1" x="6364"/>
        <item m="1" x="6366"/>
        <item m="1" x="5765"/>
        <item m="1" x="3324"/>
        <item m="1" x="5906"/>
        <item m="1" x="5915"/>
        <item m="1" x="5930"/>
        <item m="1" x="5941"/>
        <item m="1" x="5063"/>
        <item m="1" x="5072"/>
        <item m="1" x="5082"/>
        <item m="1" x="5092"/>
        <item m="1" x="5101"/>
        <item m="1" x="5117"/>
        <item m="1" x="5128"/>
        <item m="1" x="5138"/>
        <item m="1" x="5146"/>
        <item m="1" x="5152"/>
        <item m="1" x="4276"/>
        <item m="1" x="4285"/>
        <item m="1" x="4294"/>
        <item m="1" x="4303"/>
        <item m="1" x="4315"/>
        <item m="1" x="4328"/>
        <item m="1" x="4338"/>
        <item m="1" x="4346"/>
        <item m="1" x="1235"/>
        <item m="1" x="1249"/>
        <item m="1" x="4488"/>
        <item m="1" x="7801"/>
        <item m="1" x="2443"/>
        <item m="1" x="1507"/>
        <item m="1" x="4013"/>
        <item m="1" x="3679"/>
        <item m="1" x="2903"/>
        <item m="1" x="2266"/>
        <item m="1" x="105"/>
        <item m="1" x="122"/>
        <item m="1" x="6742"/>
        <item m="1" x="6290"/>
        <item m="1" x="4763"/>
        <item m="1" x="6353"/>
        <item m="1" x="7827"/>
        <item m="1" x="7014"/>
        <item m="1" x="6428"/>
        <item m="1" x="3055"/>
        <item m="1" x="6989"/>
        <item m="1" x="7009"/>
        <item m="1" x="2450"/>
        <item m="1" x="3121"/>
        <item m="1" x="2134"/>
        <item m="1" x="6041"/>
        <item m="1" x="1020"/>
        <item m="1" x="3511"/>
        <item m="1" x="7510"/>
        <item m="1" x="2202"/>
        <item m="1" x="6345"/>
        <item m="1" x="5819"/>
        <item m="1" x="4788"/>
        <item m="1" x="4675"/>
        <item m="1" x="701"/>
        <item m="1" x="6359"/>
        <item m="1" x="6361"/>
        <item m="1" x="6382"/>
        <item m="1" x="4164"/>
        <item m="1" x="3403"/>
        <item m="1" x="7485"/>
        <item m="1" x="3268"/>
        <item m="1" x="1454"/>
        <item m="1" x="6423"/>
        <item m="1" x="4168"/>
        <item m="1" x="5654"/>
        <item m="1" x="4398"/>
        <item m="1" x="2605"/>
        <item m="1" x="5662"/>
        <item m="1" x="3810"/>
        <item m="1" x="4469"/>
        <item m="1" x="1427"/>
        <item m="1" x="2330"/>
        <item m="1" x="4888"/>
        <item m="1" x="1826"/>
        <item m="1" x="1656"/>
        <item m="1" x="3231"/>
        <item m="1" x="6529"/>
        <item m="1" x="6347"/>
        <item m="1" x="5224"/>
        <item m="1" x="6368"/>
        <item m="1" x="4323"/>
        <item m="1" x="2046"/>
        <item m="1" x="7709"/>
        <item m="1" x="3350"/>
        <item m="1" x="3356"/>
        <item m="1" x="3365"/>
        <item m="1" x="3374"/>
        <item m="1" x="3218"/>
        <item m="1" x="3222"/>
        <item m="1" x="3232"/>
        <item m="1" x="3236"/>
        <item m="1" x="3241"/>
        <item m="1" x="3247"/>
        <item m="1" x="3256"/>
        <item m="1" x="3261"/>
        <item m="1" x="2415"/>
        <item m="1" x="2422"/>
        <item m="1" x="2425"/>
        <item m="1" x="2431"/>
        <item m="1" x="2453"/>
        <item m="1" x="2462"/>
        <item m="1" x="2471"/>
        <item m="1" x="2479"/>
        <item m="1" x="2488"/>
        <item m="1" x="1547"/>
        <item m="1" x="1552"/>
        <item m="1" x="1561"/>
        <item m="1" x="1568"/>
        <item m="1" x="1583"/>
        <item m="1" x="1591"/>
        <item m="1" x="1599"/>
        <item m="1" x="1608"/>
        <item m="1" x="784"/>
        <item m="1" x="796"/>
        <item m="1" x="804"/>
        <item m="1" x="813"/>
        <item m="1" x="821"/>
        <item m="1" x="830"/>
        <item m="1" x="840"/>
        <item m="1" x="848"/>
        <item m="1" x="857"/>
        <item m="1" x="7987"/>
        <item m="1" x="7995"/>
        <item m="1" x="4"/>
        <item m="1" x="12"/>
        <item m="1" x="22"/>
        <item m="1" x="30"/>
        <item m="1" x="38"/>
        <item m="1" x="43"/>
        <item m="1" x="45"/>
        <item m="1" x="50"/>
        <item m="1" x="7191"/>
        <item m="1" x="7197"/>
        <item m="1" x="7206"/>
        <item m="1" x="7210"/>
        <item m="1" x="7213"/>
        <item m="1" x="7220"/>
        <item m="1" x="7225"/>
        <item m="1" x="7231"/>
        <item m="1" x="7239"/>
        <item m="1" x="7248"/>
        <item m="1" x="6452"/>
        <item m="1" x="6459"/>
        <item m="1" x="6470"/>
        <item m="1" x="6477"/>
        <item m="1" x="6485"/>
        <item m="1" x="6493"/>
        <item m="1" x="6373"/>
        <item m="1" x="6374"/>
        <item m="1" x="6376"/>
        <item m="1" x="6377"/>
        <item m="1" x="6378"/>
        <item m="1" x="6380"/>
        <item m="1" x="6383"/>
        <item m="1" x="6386"/>
        <item m="1" x="6390"/>
        <item m="1" x="6393"/>
        <item m="1" x="5824"/>
        <item m="1" x="5834"/>
        <item m="1" x="5843"/>
        <item m="1" x="5857"/>
        <item m="1" x="5867"/>
        <item m="1" x="5883"/>
        <item m="1" x="5897"/>
        <item m="1" x="5908"/>
        <item m="1" x="5919"/>
        <item m="1" x="5933"/>
        <item m="1" x="5056"/>
        <item m="1" x="5066"/>
        <item m="1" x="5078"/>
        <item m="1" x="5094"/>
        <item m="1" x="5106"/>
        <item m="1" x="5120"/>
        <item m="1" x="5131"/>
        <item m="1" x="5144"/>
        <item m="1" x="5637"/>
        <item m="1" x="2794"/>
        <item m="1" x="7286"/>
        <item m="1" x="2815"/>
        <item m="1" x="6355"/>
        <item m="1" x="5715"/>
        <item m="1" x="4175"/>
        <item m="1" x="3434"/>
        <item m="1" x="999"/>
        <item m="1" x="3157"/>
        <item m="1" x="5103"/>
        <item m="1" x="257"/>
        <item m="1" x="261"/>
        <item m="1" x="267"/>
        <item m="1" x="5469"/>
        <item m="1" x="5420"/>
        <item m="1" x="3858"/>
        <item m="1" x="3105"/>
        <item m="1" x="4869"/>
        <item m="1" x="1253"/>
        <item m="1" x="1268"/>
        <item m="1" x="739"/>
        <item m="1" x="747"/>
        <item m="1" x="2245"/>
        <item m="1" x="2368"/>
        <item m="1" x="5768"/>
        <item m="1" x="3803"/>
        <item m="1" x="710"/>
        <item m="1" x="7103"/>
        <item m="1" x="3465"/>
        <item m="1" x="7547"/>
        <item m="1" x="6135"/>
        <item m="1" x="3594"/>
        <item m="1" x="5104"/>
        <item m="1" x="6980"/>
        <item m="1" x="3290"/>
        <item m="1" x="3791"/>
        <item m="1" x="800"/>
        <item m="1" x="5876"/>
        <item m="1" x="16"/>
        <item m="1" x="4945"/>
        <item m="1" x="4026"/>
        <item m="1" x="3334"/>
        <item m="1" x="1404"/>
        <item m="1" x="3967"/>
        <item m="1" x="2321"/>
        <item m="1" x="5153"/>
        <item m="1" x="5757"/>
        <item m="1" x="7331"/>
        <item m="1" x="6399"/>
        <item m="1" x="3459"/>
        <item m="1" x="640"/>
        <item m="1" x="670"/>
        <item m="1" x="4819"/>
        <item m="1" x="2110"/>
        <item m="1" x="2116"/>
        <item m="1" x="2361"/>
        <item m="1" x="815"/>
        <item m="1" x="4816"/>
        <item m="1" x="795"/>
        <item m="1" x="742"/>
        <item m="1" x="4672"/>
        <item m="1" x="656"/>
        <item m="1" x="7854"/>
        <item m="1" x="4627"/>
        <item m="1" x="3126"/>
        <item m="1" x="18"/>
        <item m="1" x="27"/>
        <item m="1" x="4327"/>
        <item m="1" x="5754"/>
        <item m="1" x="5210"/>
        <item m="1" x="984"/>
        <item m="1" x="7416"/>
        <item m="1" x="6602"/>
        <item m="1" x="6621"/>
        <item m="1" x="5158"/>
        <item m="1" x="2293"/>
        <item m="1" x="2968"/>
        <item m="1" x="2636"/>
        <item m="1" x="6749"/>
        <item m="1" x="4551"/>
        <item m="1" x="1607"/>
        <item m="1" x="5418"/>
        <item m="1" x="2816"/>
        <item m="1" x="3843"/>
        <item m="1" x="7905"/>
        <item m="1" x="7078"/>
        <item m="1" x="4188"/>
        <item m="1" x="5111"/>
        <item m="1" x="2756"/>
        <item m="1" x="4200"/>
        <item m="1" x="4122"/>
        <item m="1" x="1563"/>
        <item m="1" x="1658"/>
        <item m="1" x="1398"/>
        <item m="1" x="3579"/>
        <item m="1" x="7392"/>
        <item m="1" x="5372"/>
        <item m="1" x="6632"/>
        <item m="1" x="6410"/>
        <item m="1" x="2707"/>
        <item m="1" x="7515"/>
        <item m="1" x="6072"/>
        <item m="1" x="3764"/>
        <item m="1" x="1446"/>
        <item m="1" x="7131"/>
        <item m="1" x="5859"/>
        <item m="1" x="3607"/>
        <item m="1" x="1274"/>
        <item m="1" x="6982"/>
        <item m="1" x="5646"/>
        <item m="1" x="7560"/>
        <item m="1" x="6240"/>
        <item m="1" x="3957"/>
        <item m="1" x="1096"/>
        <item m="1" x="4380"/>
        <item m="1" x="388"/>
        <item m="1" x="1311"/>
        <item m="1" x="1952"/>
        <item m="1" x="2015"/>
        <item m="1" x="2024"/>
        <item m="1" x="4720"/>
        <item m="1" x="2137"/>
        <item m="1" x="682"/>
        <item m="1" x="690"/>
        <item m="1" x="729"/>
        <item m="1" x="7832"/>
        <item m="1" x="7996"/>
        <item m="1" x="2256"/>
        <item m="1" x="3044"/>
        <item m="1" x="2073"/>
        <item m="1" x="2083"/>
        <item m="1" x="2094"/>
        <item m="1" x="2098"/>
        <item m="1" x="2107"/>
        <item m="1" x="2113"/>
        <item m="1" x="2122"/>
        <item m="1" x="2132"/>
        <item m="1" x="2139"/>
        <item m="1" x="2148"/>
        <item m="1" x="1255"/>
        <item m="1" x="1262"/>
        <item m="1" x="1270"/>
        <item m="1" x="1277"/>
        <item m="1" x="1284"/>
        <item m="1" x="1293"/>
        <item m="1" x="1301"/>
        <item m="1" x="1755"/>
        <item m="1" x="1760"/>
        <item m="1" x="1766"/>
        <item m="1" x="1771"/>
        <item m="1" x="1773"/>
        <item m="1" x="948"/>
        <item m="1" x="955"/>
        <item m="1" x="962"/>
        <item m="1" x="967"/>
        <item m="1" x="979"/>
        <item m="1" x="992"/>
        <item m="1" x="995"/>
        <item m="1" x="1005"/>
        <item m="1" x="1010"/>
        <item m="1" x="1016"/>
        <item m="1" x="124"/>
        <item m="1" x="132"/>
        <item m="1" x="138"/>
        <item m="1" x="146"/>
        <item m="1" x="155"/>
        <item m="1" x="163"/>
        <item m="1" x="171"/>
        <item m="1" x="180"/>
        <item m="1" x="188"/>
        <item m="1" x="191"/>
        <item m="1" x="7333"/>
        <item m="1" x="7344"/>
        <item m="1" x="7349"/>
        <item m="1" x="7354"/>
        <item m="1" x="7363"/>
        <item m="1" x="7371"/>
        <item m="1" x="7374"/>
        <item m="1" x="7382"/>
        <item m="1" x="7391"/>
        <item m="1" x="7396"/>
        <item m="1" x="6588"/>
        <item m="1" x="6591"/>
        <item m="1" x="6594"/>
        <item m="1" x="6601"/>
        <item m="1" x="6606"/>
        <item m="1" x="6612"/>
        <item m="1" x="6618"/>
        <item m="1" x="6629"/>
        <item m="1" x="6634"/>
        <item m="1" x="6642"/>
        <item m="1" x="6401"/>
        <item m="1" x="6402"/>
        <item m="1" x="6403"/>
        <item m="1" x="6407"/>
        <item m="1" x="6408"/>
        <item m="1" x="6409"/>
        <item m="1" x="6411"/>
        <item m="1" x="6413"/>
        <item m="1" x="6417"/>
        <item m="1" x="6419"/>
        <item m="1" x="6020"/>
        <item m="1" x="6025"/>
        <item m="1" x="6031"/>
        <item m="1" x="5938"/>
        <item m="1" x="5947"/>
        <item m="1" x="298"/>
        <item m="1" x="5773"/>
        <item m="1" x="7759"/>
        <item m="1" x="3734"/>
        <item m="1" x="2393"/>
        <item m="1" x="1482"/>
        <item m="1" x="7925"/>
        <item m="1" x="6043"/>
        <item m="1" x="1091"/>
        <item m="1" x="3759"/>
        <item m="1" x="1936"/>
        <item m="1" x="329"/>
        <item m="1" x="6814"/>
        <item m="1" x="5981"/>
        <item m="1" x="818"/>
        <item m="1" x="2016"/>
        <item m="1" x="6046"/>
        <item m="1" x="3370"/>
        <item m="1" x="2607"/>
        <item m="1" x="1448"/>
        <item m="1" x="4855"/>
        <item m="1" x="6949"/>
        <item m="1" x="6397"/>
        <item m="1" x="6363"/>
        <item m="1" x="4269"/>
        <item m="1" x="1993"/>
        <item m="1" x="7662"/>
        <item m="1" x="6321"/>
        <item m="1" x="6710"/>
        <item m="1" x="2177"/>
        <item m="1" x="6444"/>
        <item m="1" x="4712"/>
        <item m="1" x="6811"/>
        <item m="1" x="780"/>
        <item m="1" x="6508"/>
        <item m="1" x="5236"/>
        <item m="1" x="2971"/>
        <item m="1" x="596"/>
        <item m="1" x="2229"/>
        <item m="1" x="7808"/>
        <item m="1" x="2254"/>
        <item m="1" x="4963"/>
        <item m="1" x="6476"/>
        <item m="1" x="4898"/>
        <item m="1" x="4359"/>
        <item m="1" x="2236"/>
        <item m="1" x="3025"/>
        <item m="1" x="6434"/>
        <item m="1" x="6436"/>
        <item m="1" x="4903"/>
        <item m="1" x="6165"/>
        <item m="1" x="6174"/>
        <item m="1" x="6381"/>
        <item m="1" x="6384"/>
        <item m="1" x="6387"/>
        <item m="1" x="6391"/>
        <item m="1" x="5813"/>
        <item m="1" x="5826"/>
        <item m="1" x="5835"/>
        <item m="1" x="5844"/>
        <item m="1" x="5860"/>
        <item m="1" x="5870"/>
        <item m="1" x="5885"/>
        <item m="1" x="5898"/>
        <item m="1" x="5909"/>
        <item m="1" x="5920"/>
        <item m="1" x="5050"/>
        <item m="1" x="5057"/>
        <item m="1" x="5067"/>
        <item m="1" x="5088"/>
        <item m="1" x="5095"/>
        <item m="1" x="5108"/>
        <item m="1" x="5217"/>
        <item m="1" x="4381"/>
        <item m="1" x="4384"/>
        <item m="1" x="6369"/>
        <item m="1" x="6372"/>
        <item m="1" x="1318"/>
        <item m="1" x="7920"/>
        <item m="1" x="7924"/>
        <item m="1" x="583"/>
        <item m="1" x="6212"/>
        <item m="1" x="6217"/>
        <item m="1" x="3852"/>
        <item m="1" x="3371"/>
        <item m="1" x="2583"/>
        <item m="1" x="2591"/>
        <item m="1" x="1019"/>
        <item m="1" x="2916"/>
        <item m="1" x="2923"/>
        <item m="1" x="2125"/>
        <item m="1" x="4782"/>
        <item m="1" x="4794"/>
        <item m="1" x="4807"/>
        <item m="1" x="3940"/>
        <item m="1" x="3947"/>
        <item m="1" x="5758"/>
        <item m="1" x="4167"/>
        <item m="1" x="52"/>
        <item m="1" x="6431"/>
        <item m="1" x="2120"/>
        <item m="1" x="5272"/>
        <item m="1" x="1421"/>
        <item m="1" x="290"/>
        <item m="1" x="4552"/>
        <item m="1" x="1336"/>
        <item m="1" x="1910"/>
        <item m="1" x="1914"/>
        <item m="1" x="1939"/>
        <item m="1" x="3032"/>
        <item m="1" x="560"/>
        <item m="1" x="1497"/>
        <item m="1" x="666"/>
        <item m="1" x="7181"/>
        <item m="1" x="1104"/>
        <item m="1" x="190"/>
        <item m="1" x="4921"/>
        <item m="1" x="4930"/>
        <item m="1" x="4942"/>
        <item m="1" x="4955"/>
        <item m="1" x="4128"/>
        <item m="1" x="1009"/>
        <item m="1" x="7428"/>
        <item m="1" x="5963"/>
        <item m="1" x="2841"/>
        <item m="1" x="2851"/>
        <item m="1" x="2873"/>
        <item m="1" x="2882"/>
        <item m="1" x="6747"/>
        <item m="1" x="7204"/>
        <item m="1" x="1796"/>
        <item m="1" x="7427"/>
        <item m="1" x="7442"/>
        <item m="1" x="6394"/>
        <item m="1" x="1913"/>
        <item m="1" x="3485"/>
        <item m="1" x="7302"/>
        <item m="1" x="480"/>
        <item m="1" x="6358"/>
        <item m="1" x="5725"/>
        <item m="1" x="1682"/>
        <item m="1" x="66"/>
        <item m="1" x="1385"/>
        <item m="1" x="7120"/>
        <item m="1" x="681"/>
        <item m="1" x="2314"/>
        <item m="1" x="6416"/>
        <item m="1" x="7528"/>
        <item m="1" x="6400"/>
        <item m="1" x="2343"/>
        <item m="1" x="7273"/>
        <item m="1" x="159"/>
        <item m="1" x="6350"/>
        <item m="1" x="2084"/>
        <item m="1" x="3503"/>
        <item m="1" x="6405"/>
        <item m="1" x="6420"/>
        <item m="1" x="376"/>
        <item m="1" x="6994"/>
        <item m="1" x="916"/>
        <item m="1" x="707"/>
        <item m="1" x="4091"/>
        <item m="1" x="6183"/>
        <item m="1" x="3885"/>
        <item m="1" x="1580"/>
        <item m="1" x="7720"/>
        <item m="1" x="6346"/>
        <item m="1" x="4105"/>
        <item m="1" x="2280"/>
        <item m="1" x="1843"/>
        <item m="1" x="6208"/>
        <item m="1" x="4370"/>
        <item m="1" x="5518"/>
        <item m="1" x="3275"/>
        <item m="1" x="2313"/>
        <item m="1" x="6957"/>
        <item m="1" x="3376"/>
        <item m="1" x="5444"/>
        <item m="1" x="7118"/>
        <item m="1" x="5825"/>
        <item m="1" x="5058"/>
        <item m="1" x="2842"/>
        <item m="1" x="7406"/>
        <item m="1" x="6605"/>
        <item m="1" x="2447"/>
        <item m="1" x="1988"/>
        <item m="1" x="1304"/>
        <item m="1" x="7002"/>
        <item m="1" x="5666"/>
        <item m="1" x="2838"/>
        <item m="1" x="467"/>
        <item m="1" x="6627"/>
        <item m="1" x="7781"/>
        <item m="1" x="964"/>
        <item m="1" x="2391"/>
        <item m="1" x="2598"/>
        <item m="1" x="2621"/>
        <item m="1" x="2183"/>
        <item m="1" x="3782"/>
        <item m="1" x="6448"/>
        <item m="1" x="7762"/>
        <item m="1" x="5481"/>
        <item m="1" x="3884"/>
        <item m="1" x="3213"/>
        <item m="1" x="3118"/>
        <item m="1" x="5979"/>
        <item m="1" x="5187"/>
        <item m="1" x="3602"/>
        <item m="1" x="153"/>
        <item m="1" x="166"/>
        <item m="1" x="183"/>
        <item m="1" x="7346"/>
        <item m="1" x="978"/>
        <item m="1" x="242"/>
        <item m="1" x="863"/>
        <item m="1" x="5820"/>
        <item m="1" x="3666"/>
        <item m="1" x="7588"/>
        <item m="1" x="6970"/>
        <item m="1" x="7771"/>
        <item m="1" x="6456"/>
        <item m="1" x="2776"/>
        <item m="1" x="576"/>
        <item m="1" x="1422"/>
        <item m="1" x="4459"/>
        <item m="1" x="4475"/>
        <item m="1" x="6913"/>
        <item m="1" x="1347"/>
        <item m="1" x="6885"/>
        <item m="1" x="4745"/>
        <item m="1" x="4864"/>
        <item m="1" x="4040"/>
        <item m="1" x="7522"/>
        <item m="1" x="6329"/>
        <item m="1" x="1825"/>
        <item m="1" x="7542"/>
        <item m="1" x="4639"/>
        <item m="1" x="3667"/>
        <item m="1" x="6392"/>
        <item m="1" x="252"/>
        <item m="1" x="6610"/>
        <item m="1" x="1667"/>
        <item m="1" x="6398"/>
        <item m="1" x="5977"/>
        <item m="1" x="1517"/>
        <item m="1" x="1045"/>
        <item m="1" x="5884"/>
        <item m="1" x="1801"/>
        <item m="1" x="1943"/>
        <item m="1" x="7059"/>
        <item m="1" x="6883"/>
        <item m="1" x="4842"/>
        <item m="1" x="4090"/>
        <item m="1" x="3304"/>
        <item m="1" x="7908"/>
        <item m="1" x="7108"/>
        <item m="1" x="4960"/>
        <item m="1" x="4989"/>
        <item m="1" x="7805"/>
        <item m="1" x="6449"/>
        <item m="1" x="7223"/>
        <item m="1" x="6553"/>
        <item m="1" x="4692"/>
        <item m="1" x="1811"/>
        <item m="1" x="335"/>
        <item m="1" x="6818"/>
        <item m="1" x="4364"/>
        <item m="1" x="393"/>
        <item m="1" x="6396"/>
        <item m="1" x="6887"/>
        <item m="1" x="6445"/>
        <item m="1" x="6447"/>
        <item m="1" x="196"/>
        <item m="1" x="5990"/>
        <item m="1" x="6180"/>
        <item m="1" x="343"/>
        <item m="1" x="184"/>
        <item m="1" x="3672"/>
        <item m="1" x="3874"/>
        <item m="1" x="6389"/>
        <item m="1" x="7279"/>
        <item m="1" x="4029"/>
        <item m="1" x="2933"/>
        <item m="1" x="6500"/>
        <item m="1" x="5062"/>
        <item m="1" x="608"/>
        <item m="1" x="7127"/>
        <item m="1" x="4892"/>
        <item m="1" x="6414"/>
        <item m="1" x="6425"/>
        <item m="1" x="3577"/>
        <item m="1" x="1246"/>
        <item m="1" x="6963"/>
        <item m="1" x="5627"/>
        <item m="1" x="3379"/>
        <item m="1" x="1069"/>
        <item m="1" x="3984"/>
        <item m="1" x="7283"/>
        <item m="1" x="6628"/>
        <item m="1" x="3537"/>
        <item m="1" x="6205"/>
        <item m="1" x="1439"/>
        <item m="1" x="7849"/>
        <item m="1" x="777"/>
        <item m="1" x="7989"/>
        <item m="1" x="6919"/>
        <item m="1" x="1584"/>
        <item m="1" x="615"/>
        <item m="1" x="3820"/>
        <item m="1" x="5431"/>
        <item m="1" x="5214"/>
        <item m="1" x="3839"/>
        <item m="1" x="58"/>
        <item m="1" x="1173"/>
        <item m="1" x="1244"/>
        <item m="1" x="2893"/>
        <item m="1" x="4874"/>
        <item m="1" x="6371"/>
        <item m="1" x="5001"/>
        <item m="1" x="6467"/>
        <item m="1" x="6722"/>
        <item m="1" x="7638"/>
        <item m="1" x="1660"/>
        <item m="1" x="1678"/>
        <item m="1" x="6495"/>
        <item m="1" x="2382"/>
        <item m="1" x="2398"/>
        <item m="1" x="7010"/>
        <item m="1" x="7012"/>
        <item m="1" x="7998"/>
        <item m="1" x="4927"/>
        <item m="1" x="4932"/>
        <item m="1" x="4941"/>
        <item m="1" x="4948"/>
        <item m="1" x="4110"/>
        <item m="1" x="2869"/>
        <item m="1" x="2875"/>
        <item m="1" x="6"/>
        <item m="1" x="1086"/>
        <item m="1" x="4425"/>
        <item m="1" x="4462"/>
        <item m="1" x="4476"/>
        <item m="1" x="4486"/>
        <item m="1" x="6432"/>
        <item m="1" x="6439"/>
        <item m="1" x="5717"/>
        <item m="1" x="5722"/>
        <item m="1" x="5708"/>
        <item m="1" x="6344"/>
        <item m="1" x="1232"/>
        <item m="1" x="3377"/>
        <item m="1" x="1783"/>
        <item m="1" x="4455"/>
        <item m="1" x="6440"/>
        <item m="1" x="2964"/>
        <item m="1" x="6412"/>
        <item m="1" x="4180"/>
        <item m="1" x="1874"/>
        <item m="1" x="1650"/>
        <item m="1" x="5937"/>
        <item m="1" x="3474"/>
        <item m="1" x="3495"/>
        <item m="1" x="177"/>
        <item m="1" x="4111"/>
        <item m="1" x="287"/>
        <item m="1" x="6714"/>
        <item m="1" x="19"/>
        <item m="1" x="6388"/>
        <item m="1" x="5275"/>
        <item m="1" x="3006"/>
        <item m="1" x="634"/>
        <item m="1" x="6836"/>
        <item m="1" x="4354"/>
        <item m="1" x="2895"/>
        <item m="1" x="6360"/>
        <item m="1" x="1046"/>
        <item m="1" x="207"/>
        <item m="1" x="224"/>
        <item m="1" x="1626"/>
        <item m="1" x="6622"/>
        <item m="1" x="6631"/>
        <item m="1" x="6639"/>
        <item m="1" x="3568"/>
        <item m="1" x="1178"/>
        <item m="1" x="3325"/>
        <item m="1" x="6438"/>
        <item m="1" x="3162"/>
        <item m="1" x="4237"/>
        <item m="1" x="7731"/>
        <item m="1" x="3076"/>
        <item m="1" x="2610"/>
        <item m="1" x="3528"/>
        <item m="1" x="7497"/>
        <item m="1" x="6239"/>
        <item m="1" x="6437"/>
        <item m="1" x="2283"/>
        <item m="1" x="3769"/>
        <item x="0"/>
        <item m="1" x="7538"/>
        <item m="1" x="3875"/>
        <item m="1" x="7755"/>
        <item m="1" x="7935"/>
        <item m="1" x="723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">
    <i>
      <x v="9"/>
    </i>
    <i>
      <x v="7994"/>
    </i>
  </rowItems>
  <colItems count="1">
    <i/>
  </colItems>
  <formats count="2">
    <format dxfId="11">
      <pivotArea dataOnly="0" labelOnly="1" outline="0" fieldPosition="0">
        <references count="1">
          <reference field="0" count="1">
            <x v="9"/>
          </reference>
        </references>
      </pivotArea>
    </format>
    <format dxfId="10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Data" updatedVersion="5" minRefreshableVersion="3" showDrill="0" showMemberPropertyTips="0" useAutoFormatting="1" rowGrandTotals="0" colGrandTotals="0" itemPrintTitles="1" createdVersion="6" indent="0" compact="0" compactData="0">
  <location ref="A6:F21" firstHeaderRow="1" firstDataRow="2" firstDataCol="3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0"/>
        <item x="1"/>
        <item x="5"/>
        <item x="6"/>
        <item x="4"/>
        <item x="3"/>
        <item x="2"/>
        <item m="1" x="18"/>
        <item m="1" x="16"/>
        <item m="1" x="14"/>
        <item m="1" x="19"/>
        <item m="1" x="13"/>
        <item m="1" x="20"/>
        <item m="1" x="8"/>
        <item m="1" x="22"/>
        <item m="1" x="10"/>
        <item m="1" x="15"/>
        <item m="1" x="7"/>
        <item m="1" x="21"/>
        <item m="1" x="17"/>
        <item m="1" x="9"/>
        <item m="1" x="1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2"/>
        <item x="4"/>
        <item m="1" x="21"/>
        <item m="1" x="11"/>
        <item m="1" x="17"/>
        <item m="1" x="24"/>
        <item x="1"/>
        <item m="1" x="7"/>
        <item x="0"/>
        <item m="1" x="22"/>
        <item m="1" x="26"/>
        <item m="1" x="18"/>
        <item m="1" x="9"/>
        <item m="1" x="6"/>
        <item m="1" x="12"/>
        <item m="1" x="23"/>
        <item m="1" x="20"/>
        <item m="1" x="16"/>
        <item m="1" x="19"/>
        <item m="1" x="27"/>
        <item m="1" x="8"/>
        <item m="1" x="10"/>
        <item m="1" x="13"/>
        <item m="1" x="14"/>
        <item m="1" x="5"/>
        <item m="1" x="15"/>
        <item m="1" x="2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9">
        <item x="4"/>
        <item x="6"/>
        <item x="3"/>
        <item x="0"/>
        <item x="2"/>
        <item x="5"/>
        <item x="1"/>
        <item m="1" x="14"/>
        <item m="1" x="15"/>
        <item m="1" x="11"/>
        <item m="1" x="10"/>
        <item m="1" x="17"/>
        <item m="1" x="18"/>
        <item m="1" x="7"/>
        <item m="1" x="9"/>
        <item m="1" x="12"/>
        <item m="1" x="16"/>
        <item m="1" x="13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6"/>
    <field x="18"/>
    <field x="17"/>
  </rowFields>
  <rowItems count="14">
    <i>
      <x/>
      <x v="3"/>
      <x/>
    </i>
    <i r="2">
      <x v="8"/>
    </i>
    <i>
      <x v="1"/>
      <x v="6"/>
      <x/>
    </i>
    <i r="2">
      <x v="8"/>
    </i>
    <i>
      <x v="2"/>
      <x v="5"/>
      <x/>
    </i>
    <i r="2">
      <x v="8"/>
    </i>
    <i>
      <x v="3"/>
      <x v="1"/>
      <x/>
    </i>
    <i>
      <x v="4"/>
      <x/>
      <x/>
    </i>
    <i r="2">
      <x v="8"/>
    </i>
    <i>
      <x v="5"/>
      <x v="2"/>
      <x v="8"/>
    </i>
    <i r="2">
      <x v="27"/>
    </i>
    <i>
      <x v="6"/>
      <x v="4"/>
      <x v="1"/>
    </i>
    <i r="2">
      <x v="6"/>
    </i>
    <i r="2">
      <x v="8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/>
  </dataFields>
  <formats count="4">
    <format dxfId="15">
      <pivotArea field="16" type="button" dataOnly="0" labelOnly="1" outline="0" axis="axisRow" fieldPosition="0"/>
    </format>
    <format dxfId="14">
      <pivotArea field="18" type="button" dataOnly="0" labelOnly="1" outline="0" axis="axisRow" fieldPosition="1"/>
    </format>
    <format dxfId="13">
      <pivotArea field="17" type="button" dataOnly="0" labelOnly="1" outline="0" axis="axisRow" fieldPosition="2"/>
    </format>
    <format dxfId="12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showRowHeaders="1" showColHeaders="1" showRowStripes="0" showColStripes="0" showLastColumn="1"/>
  <filters count="1">
    <filter fld="16" type="captionNotContains" evalOrder="-1" id="1" stringValue1="(blank)">
      <autoFilter ref="A1">
        <filterColumn colId="0">
          <customFilters>
            <customFilter operator="notEqual" val="*(blank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U6" totalsRowShown="0">
  <autoFilter ref="A5:U6" xr:uid="{00000000-0009-0000-0100-000001000000}"/>
  <sortState xmlns:xlrd2="http://schemas.microsoft.com/office/spreadsheetml/2017/richdata2" ref="A6:U6">
    <sortCondition descending="1" ref="N5:N6"/>
  </sortState>
  <tableColumns count="21">
    <tableColumn id="1" xr3:uid="{00000000-0010-0000-0000-000001000000}" name="Carton No"/>
    <tableColumn id="2" xr3:uid="{00000000-0010-0000-0000-000002000000}" name="Ship To"/>
    <tableColumn id="3" xr3:uid="{00000000-0010-0000-0000-000003000000}" name="Customer Name"/>
    <tableColumn id="4" xr3:uid="{00000000-0010-0000-0000-000004000000}" name="Ship Method"/>
    <tableColumn id="5" xr3:uid="{00000000-0010-0000-0000-000005000000}" name="FOB Condition"/>
    <tableColumn id="6" xr3:uid="{00000000-0010-0000-0000-000006000000}" name="Original Part No."/>
    <tableColumn id="7" xr3:uid="{00000000-0010-0000-0000-000007000000}" name="Item"/>
    <tableColumn id="8" xr3:uid="{00000000-0010-0000-0000-000008000000}" name="Item Desc"/>
    <tableColumn id="9" xr3:uid="{00000000-0010-0000-0000-000009000000}" name="Model"/>
    <tableColumn id="10" xr3:uid="{00000000-0010-0000-0000-00000A000000}" name="Product"/>
    <tableColumn id="11" xr3:uid="{00000000-0010-0000-0000-00000B000000}" name="Order No"/>
    <tableColumn id="12" xr3:uid="{00000000-0010-0000-0000-00000C000000}" name="Line No"/>
    <tableColumn id="13" xr3:uid="{00000000-0010-0000-0000-00000D000000}" name="Customer ref"/>
    <tableColumn id="14" xr3:uid="{00000000-0010-0000-0000-00000E000000}" name="Quantity"/>
    <tableColumn id="15" xr3:uid="{00000000-0010-0000-0000-00000F000000}" name="U-Price"/>
    <tableColumn id="16" xr3:uid="{00000000-0010-0000-0000-000010000000}" name="Amount"/>
    <tableColumn id="17" xr3:uid="{00000000-0010-0000-0000-000011000000}" name="HS Code" dataDxfId="20"/>
    <tableColumn id="18" xr3:uid="{00000000-0010-0000-0000-000012000000}" name="Origin" dataDxfId="19"/>
    <tableColumn id="19" xr3:uid="{00000000-0010-0000-0000-000013000000}" name="Description" dataDxfId="18">
      <calculatedColumnFormula>VLOOKUP(Table1[[#This Row],[HS Code]],'HS Codes'!$A:$B,2,0)</calculatedColumnFormula>
    </tableColumn>
    <tableColumn id="20" xr3:uid="{00000000-0010-0000-0000-000014000000}" name="Unadjusted Weight" dataDxfId="17">
      <calculatedColumnFormula>ROUND($U$1*Table1[[#This Row],[Quantity]],2)</calculatedColumnFormula>
    </tableColumn>
    <tableColumn id="21" xr3:uid="{00000000-0010-0000-0000-000015000000}" name="Final Weight" dataDxfId="16">
      <calculatedColumnFormula>IF(ROW()=6,Table1[[#This Row],[Unadjusted Weight]]+$U$2,Table1[[#This Row],[Unadjusted Weight]])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3"/>
  <sheetViews>
    <sheetView showGridLines="0" workbookViewId="0">
      <selection activeCell="C35" sqref="C35"/>
    </sheetView>
  </sheetViews>
  <sheetFormatPr defaultRowHeight="13.2" x14ac:dyDescent="0.25"/>
  <cols>
    <col min="1" max="1" width="13.109375" bestFit="1" customWidth="1"/>
    <col min="2" max="2" width="57" bestFit="1" customWidth="1"/>
  </cols>
  <sheetData>
    <row r="1" spans="1:20" x14ac:dyDescent="0.25">
      <c r="A1" s="6" t="s">
        <v>37</v>
      </c>
      <c r="B1" s="6" t="s">
        <v>43</v>
      </c>
    </row>
    <row r="2" spans="1:20" x14ac:dyDescent="0.25">
      <c r="A2" s="7">
        <v>84159000</v>
      </c>
      <c r="B2" s="8" t="s">
        <v>89</v>
      </c>
    </row>
    <row r="3" spans="1:20" x14ac:dyDescent="0.25">
      <c r="A3" s="7">
        <v>84219900</v>
      </c>
      <c r="B3" s="9" t="s">
        <v>97</v>
      </c>
    </row>
    <row r="4" spans="1:20" x14ac:dyDescent="0.25">
      <c r="A4" s="7">
        <v>84189990</v>
      </c>
      <c r="B4" s="8" t="s">
        <v>90</v>
      </c>
      <c r="T4" s="4"/>
    </row>
    <row r="5" spans="1:20" x14ac:dyDescent="0.25">
      <c r="A5" s="7">
        <v>84509000</v>
      </c>
      <c r="B5" s="8" t="s">
        <v>91</v>
      </c>
    </row>
    <row r="6" spans="1:20" x14ac:dyDescent="0.25">
      <c r="A6" s="7">
        <v>84733000</v>
      </c>
      <c r="B6" s="8" t="s">
        <v>92</v>
      </c>
    </row>
    <row r="7" spans="1:20" x14ac:dyDescent="0.25">
      <c r="A7" s="7">
        <v>85171200</v>
      </c>
      <c r="B7" s="9" t="s">
        <v>60</v>
      </c>
    </row>
    <row r="8" spans="1:20" x14ac:dyDescent="0.25">
      <c r="A8" s="7">
        <v>85087000</v>
      </c>
      <c r="B8" s="9" t="s">
        <v>93</v>
      </c>
    </row>
    <row r="9" spans="1:20" x14ac:dyDescent="0.25">
      <c r="A9" s="7">
        <v>85169000</v>
      </c>
      <c r="B9" s="8" t="s">
        <v>94</v>
      </c>
    </row>
    <row r="10" spans="1:20" x14ac:dyDescent="0.25">
      <c r="A10" s="7">
        <v>85229000</v>
      </c>
      <c r="B10" s="8" t="s">
        <v>95</v>
      </c>
    </row>
    <row r="11" spans="1:20" x14ac:dyDescent="0.25">
      <c r="A11" s="7">
        <v>85299090</v>
      </c>
      <c r="B11" s="8" t="s">
        <v>96</v>
      </c>
    </row>
    <row r="12" spans="1:20" x14ac:dyDescent="0.25">
      <c r="A12" s="7">
        <v>85404000</v>
      </c>
      <c r="B12" s="8" t="s">
        <v>96</v>
      </c>
    </row>
    <row r="13" spans="1:20" x14ac:dyDescent="0.25">
      <c r="A13" s="1">
        <v>85065010</v>
      </c>
      <c r="B13" s="15" t="s">
        <v>70</v>
      </c>
    </row>
    <row r="14" spans="1:20" x14ac:dyDescent="0.25">
      <c r="A14" s="7">
        <v>42029100</v>
      </c>
      <c r="B14" s="8" t="s">
        <v>15</v>
      </c>
    </row>
    <row r="15" spans="1:20" x14ac:dyDescent="0.25">
      <c r="A15" s="7">
        <v>85439010</v>
      </c>
      <c r="B15" s="8" t="s">
        <v>0</v>
      </c>
    </row>
    <row r="16" spans="1:20" x14ac:dyDescent="0.25">
      <c r="A16" s="7">
        <v>34024900</v>
      </c>
      <c r="B16" s="8" t="s">
        <v>151</v>
      </c>
    </row>
    <row r="17" spans="1:2" x14ac:dyDescent="0.25">
      <c r="A17" s="7">
        <v>85183090</v>
      </c>
      <c r="B17" s="9" t="s">
        <v>42</v>
      </c>
    </row>
    <row r="18" spans="1:2" ht="13.8" thickBot="1" x14ac:dyDescent="0.3">
      <c r="A18" s="33">
        <v>841790000000</v>
      </c>
      <c r="B18" s="34" t="s">
        <v>89</v>
      </c>
    </row>
    <row r="19" spans="1:2" ht="13.8" thickBot="1" x14ac:dyDescent="0.3">
      <c r="A19" s="33">
        <v>841899100000</v>
      </c>
      <c r="B19" s="34" t="s">
        <v>90</v>
      </c>
    </row>
    <row r="20" spans="1:2" ht="13.8" thickBot="1" x14ac:dyDescent="0.3">
      <c r="A20" s="33">
        <v>871690100001</v>
      </c>
      <c r="B20" s="34" t="s">
        <v>91</v>
      </c>
    </row>
    <row r="21" spans="1:2" ht="13.8" thickBot="1" x14ac:dyDescent="0.3">
      <c r="A21" s="33">
        <v>854590000003</v>
      </c>
      <c r="B21" s="34" t="s">
        <v>60</v>
      </c>
    </row>
    <row r="22" spans="1:2" ht="13.8" thickBot="1" x14ac:dyDescent="0.3">
      <c r="A22" s="33">
        <v>850610100000</v>
      </c>
      <c r="B22" s="35" t="s">
        <v>108</v>
      </c>
    </row>
    <row r="23" spans="1:2" ht="13.8" thickBot="1" x14ac:dyDescent="0.3">
      <c r="A23" s="33">
        <v>850590000000</v>
      </c>
      <c r="B23" s="34" t="s">
        <v>109</v>
      </c>
    </row>
    <row r="24" spans="1:2" ht="13.8" thickBot="1" x14ac:dyDescent="0.3">
      <c r="A24" s="33">
        <v>854071000000</v>
      </c>
      <c r="B24" s="34" t="s">
        <v>110</v>
      </c>
    </row>
    <row r="25" spans="1:2" ht="13.8" thickBot="1" x14ac:dyDescent="0.3">
      <c r="A25" s="33">
        <v>854370900004</v>
      </c>
      <c r="B25" s="34" t="s">
        <v>111</v>
      </c>
    </row>
    <row r="26" spans="1:2" ht="13.8" thickBot="1" x14ac:dyDescent="0.3">
      <c r="A26" s="33">
        <v>854040000000</v>
      </c>
      <c r="B26" s="34" t="s">
        <v>112</v>
      </c>
    </row>
    <row r="27" spans="1:2" ht="13.8" thickBot="1" x14ac:dyDescent="0.3">
      <c r="A27" s="33">
        <v>841430000000</v>
      </c>
      <c r="B27" s="34" t="s">
        <v>113</v>
      </c>
    </row>
    <row r="28" spans="1:2" ht="13.8" thickBot="1" x14ac:dyDescent="0.3">
      <c r="A28" s="33">
        <v>850110000001</v>
      </c>
      <c r="B28" s="34" t="s">
        <v>114</v>
      </c>
    </row>
    <row r="29" spans="1:2" ht="13.8" thickBot="1" x14ac:dyDescent="0.3">
      <c r="A29" s="33">
        <v>850780000000</v>
      </c>
      <c r="B29" s="112" t="s">
        <v>155</v>
      </c>
    </row>
    <row r="30" spans="1:2" ht="13.8" thickBot="1" x14ac:dyDescent="0.3">
      <c r="A30" s="33">
        <v>340250290000</v>
      </c>
      <c r="B30" s="34" t="s">
        <v>156</v>
      </c>
    </row>
    <row r="31" spans="1:2" ht="13.8" thickBot="1" x14ac:dyDescent="0.3">
      <c r="A31" s="33">
        <v>842139000002</v>
      </c>
      <c r="B31" s="34" t="s">
        <v>157</v>
      </c>
    </row>
    <row r="32" spans="1:2" x14ac:dyDescent="0.25">
      <c r="A32" s="7">
        <v>85043200</v>
      </c>
      <c r="B32" s="8" t="s">
        <v>9</v>
      </c>
    </row>
    <row r="33" spans="1:3" x14ac:dyDescent="0.25">
      <c r="A33" s="7">
        <v>85291010</v>
      </c>
      <c r="B33" s="8" t="s">
        <v>2</v>
      </c>
    </row>
    <row r="34" spans="1:3" x14ac:dyDescent="0.25">
      <c r="A34" s="7">
        <v>85444290</v>
      </c>
      <c r="B34" s="8" t="s">
        <v>14</v>
      </c>
    </row>
    <row r="35" spans="1:3" x14ac:dyDescent="0.25">
      <c r="A35" s="7">
        <v>90029000</v>
      </c>
      <c r="B35" s="8" t="s">
        <v>13</v>
      </c>
    </row>
    <row r="36" spans="1:3" x14ac:dyDescent="0.25">
      <c r="A36" s="7">
        <v>85177900</v>
      </c>
      <c r="B36" s="9" t="s">
        <v>60</v>
      </c>
    </row>
    <row r="37" spans="1:3" x14ac:dyDescent="0.25">
      <c r="A37" s="7">
        <v>84879000</v>
      </c>
      <c r="B37" s="8" t="s">
        <v>3</v>
      </c>
    </row>
    <row r="38" spans="1:3" x14ac:dyDescent="0.25">
      <c r="A38" s="7">
        <v>85419000</v>
      </c>
      <c r="B38" s="8" t="s">
        <v>4</v>
      </c>
    </row>
    <row r="39" spans="1:3" x14ac:dyDescent="0.25">
      <c r="A39" s="7">
        <v>96062900</v>
      </c>
      <c r="B39" s="9" t="s">
        <v>5</v>
      </c>
      <c r="C39" s="10" t="s">
        <v>61</v>
      </c>
    </row>
    <row r="40" spans="1:3" x14ac:dyDescent="0.25">
      <c r="A40" s="7">
        <v>85013100</v>
      </c>
      <c r="B40" s="9" t="s">
        <v>6</v>
      </c>
    </row>
    <row r="41" spans="1:3" x14ac:dyDescent="0.25">
      <c r="A41" s="7">
        <v>73181500</v>
      </c>
      <c r="B41" s="9" t="s">
        <v>7</v>
      </c>
    </row>
    <row r="42" spans="1:3" x14ac:dyDescent="0.25">
      <c r="A42" s="7">
        <v>94059200</v>
      </c>
      <c r="B42" s="9" t="s">
        <v>8</v>
      </c>
    </row>
    <row r="43" spans="1:3" x14ac:dyDescent="0.25">
      <c r="A43" s="7">
        <v>85318020</v>
      </c>
      <c r="B43" s="9" t="s">
        <v>16</v>
      </c>
    </row>
    <row r="44" spans="1:3" x14ac:dyDescent="0.25">
      <c r="A44" s="7">
        <v>46029011</v>
      </c>
      <c r="B44" s="8" t="s">
        <v>10</v>
      </c>
    </row>
    <row r="45" spans="1:3" x14ac:dyDescent="0.25">
      <c r="A45" s="7">
        <v>39269099</v>
      </c>
      <c r="B45" s="8" t="s">
        <v>1</v>
      </c>
    </row>
    <row r="46" spans="1:3" x14ac:dyDescent="0.25">
      <c r="A46" s="7">
        <v>85393200</v>
      </c>
      <c r="B46" s="8" t="s">
        <v>11</v>
      </c>
    </row>
    <row r="47" spans="1:3" x14ac:dyDescent="0.25">
      <c r="A47" s="7">
        <v>84219900</v>
      </c>
      <c r="B47" s="8" t="s">
        <v>97</v>
      </c>
    </row>
    <row r="48" spans="1:3" x14ac:dyDescent="0.25">
      <c r="A48" s="7">
        <v>85269200</v>
      </c>
      <c r="B48" s="8" t="s">
        <v>12</v>
      </c>
    </row>
    <row r="49" spans="1:2" x14ac:dyDescent="0.25">
      <c r="A49" s="7">
        <v>85287290</v>
      </c>
      <c r="B49" s="8" t="s">
        <v>23</v>
      </c>
    </row>
    <row r="51" spans="1:2" x14ac:dyDescent="0.25">
      <c r="A51" s="1"/>
    </row>
    <row r="52" spans="1:2" x14ac:dyDescent="0.25">
      <c r="A52" s="1">
        <v>85099000</v>
      </c>
      <c r="B52" s="2" t="s">
        <v>98</v>
      </c>
    </row>
    <row r="53" spans="1:2" x14ac:dyDescent="0.25">
      <c r="A53" s="1">
        <v>850431</v>
      </c>
      <c r="B53" t="s">
        <v>99</v>
      </c>
    </row>
    <row r="55" spans="1:2" x14ac:dyDescent="0.25">
      <c r="A55" s="2" t="s">
        <v>62</v>
      </c>
    </row>
    <row r="56" spans="1:2" x14ac:dyDescent="0.25">
      <c r="A56" s="11">
        <v>85365090</v>
      </c>
      <c r="B56" s="12" t="s">
        <v>63</v>
      </c>
    </row>
    <row r="57" spans="1:2" x14ac:dyDescent="0.25">
      <c r="A57" s="11">
        <v>85012000</v>
      </c>
      <c r="B57" s="12" t="s">
        <v>64</v>
      </c>
    </row>
    <row r="58" spans="1:2" x14ac:dyDescent="0.25">
      <c r="A58" s="11">
        <v>84818090</v>
      </c>
      <c r="B58" s="12" t="s">
        <v>65</v>
      </c>
    </row>
    <row r="59" spans="1:2" x14ac:dyDescent="0.25">
      <c r="A59" s="11">
        <v>84212190</v>
      </c>
      <c r="B59" s="12" t="s">
        <v>66</v>
      </c>
    </row>
    <row r="60" spans="1:2" x14ac:dyDescent="0.25">
      <c r="A60" s="11">
        <v>84143000</v>
      </c>
      <c r="B60" s="12" t="s">
        <v>67</v>
      </c>
    </row>
    <row r="61" spans="1:2" x14ac:dyDescent="0.25">
      <c r="A61" s="11">
        <v>84137000</v>
      </c>
      <c r="B61" s="12" t="s">
        <v>68</v>
      </c>
    </row>
    <row r="62" spans="1:2" x14ac:dyDescent="0.25">
      <c r="A62" s="11">
        <v>39173300</v>
      </c>
      <c r="B62" s="13" t="s">
        <v>69</v>
      </c>
    </row>
    <row r="63" spans="1:2" x14ac:dyDescent="0.25">
      <c r="A63" s="1">
        <v>85444291</v>
      </c>
      <c r="B63" t="s">
        <v>150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indexed="11"/>
  </sheetPr>
  <dimension ref="A1:V6"/>
  <sheetViews>
    <sheetView showGridLines="0" zoomScale="80" zoomScaleNormal="80" workbookViewId="0">
      <pane xSplit="1" ySplit="5" topLeftCell="B6" activePane="bottomRight" state="frozen"/>
      <selection activeCell="A3" sqref="A3"/>
      <selection pane="topRight" activeCell="B3" sqref="B3"/>
      <selection pane="bottomLeft" activeCell="A6" sqref="A6"/>
      <selection pane="bottomRight" activeCell="A6" sqref="A6"/>
    </sheetView>
  </sheetViews>
  <sheetFormatPr defaultRowHeight="13.2" x14ac:dyDescent="0.25"/>
  <cols>
    <col min="1" max="1" width="34.109375" customWidth="1"/>
    <col min="2" max="2" width="10.5546875" bestFit="1" customWidth="1"/>
    <col min="3" max="3" width="19.5546875" customWidth="1"/>
    <col min="4" max="4" width="15.5546875" customWidth="1"/>
    <col min="5" max="5" width="17" customWidth="1"/>
    <col min="6" max="6" width="18.6640625" customWidth="1"/>
    <col min="7" max="7" width="15" bestFit="1" customWidth="1"/>
    <col min="8" max="8" width="16.88671875" customWidth="1"/>
    <col min="9" max="9" width="19.33203125" customWidth="1"/>
    <col min="10" max="10" width="10.88671875" customWidth="1"/>
    <col min="11" max="11" width="12" bestFit="1" customWidth="1"/>
    <col min="12" max="12" width="10.5546875" bestFit="1" customWidth="1"/>
    <col min="13" max="13" width="16.5546875" customWidth="1"/>
    <col min="14" max="14" width="11.33203125" customWidth="1"/>
    <col min="15" max="15" width="10.33203125" bestFit="1" customWidth="1"/>
    <col min="16" max="16" width="11.109375" customWidth="1"/>
    <col min="17" max="17" width="15.88671875" customWidth="1"/>
    <col min="18" max="18" width="14.109375" bestFit="1" customWidth="1"/>
    <col min="19" max="19" width="34.5546875" customWidth="1"/>
    <col min="20" max="20" width="17.44140625" customWidth="1"/>
  </cols>
  <sheetData>
    <row r="1" spans="1:22" hidden="1" x14ac:dyDescent="0.25">
      <c r="U1" s="4">
        <f>T3/N3</f>
        <v>218.5</v>
      </c>
      <c r="V1">
        <f>SUM(Table1[Final Weight])</f>
        <v>437</v>
      </c>
    </row>
    <row r="2" spans="1:22" hidden="1" x14ac:dyDescent="0.25">
      <c r="T2" s="4">
        <f>SUM(Table1[Unadjusted Weight])</f>
        <v>437</v>
      </c>
      <c r="U2" s="4">
        <f>T3-T2</f>
        <v>0</v>
      </c>
      <c r="V2" s="4">
        <f>T3-V1</f>
        <v>0</v>
      </c>
    </row>
    <row r="3" spans="1:22" x14ac:dyDescent="0.25">
      <c r="N3">
        <f>SUM(Table1[Quantity])</f>
        <v>2</v>
      </c>
      <c r="S3" s="29" t="s">
        <v>107</v>
      </c>
      <c r="T3" s="32">
        <v>437</v>
      </c>
    </row>
    <row r="4" spans="1:22" ht="39.75" customHeight="1" x14ac:dyDescent="0.25"/>
    <row r="5" spans="1:22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2" t="s">
        <v>57</v>
      </c>
      <c r="G5" t="s">
        <v>29</v>
      </c>
      <c r="H5" t="s">
        <v>30</v>
      </c>
      <c r="I5" s="2" t="s">
        <v>58</v>
      </c>
      <c r="J5" t="s">
        <v>31</v>
      </c>
      <c r="K5" t="s">
        <v>32</v>
      </c>
      <c r="L5" t="s">
        <v>33</v>
      </c>
      <c r="M5" s="2" t="s">
        <v>71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s="24" t="s">
        <v>43</v>
      </c>
      <c r="T5" t="s">
        <v>104</v>
      </c>
      <c r="U5" t="s">
        <v>105</v>
      </c>
    </row>
    <row r="6" spans="1:22" x14ac:dyDescent="0.25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G6" t="s">
        <v>163</v>
      </c>
      <c r="H6" t="s">
        <v>164</v>
      </c>
      <c r="I6" t="s">
        <v>165</v>
      </c>
      <c r="J6" t="s">
        <v>116</v>
      </c>
      <c r="K6">
        <v>700576839</v>
      </c>
      <c r="L6">
        <v>1.1000000000000001</v>
      </c>
      <c r="M6">
        <v>40855</v>
      </c>
      <c r="N6">
        <v>2</v>
      </c>
      <c r="O6">
        <v>20.71</v>
      </c>
      <c r="P6">
        <v>41.42</v>
      </c>
      <c r="Q6">
        <v>84189990</v>
      </c>
      <c r="R6" s="2" t="s">
        <v>664</v>
      </c>
      <c r="S6" s="21" t="str">
        <f>VLOOKUP(Table1[[#This Row],[HS Code]],'HS Codes'!$A:$B,2,0)</f>
        <v>Spare part for Refrigerator</v>
      </c>
      <c r="T6">
        <f>ROUND($U$1*Table1[[#This Row],[Quantity]],2)</f>
        <v>437</v>
      </c>
      <c r="U6">
        <f>IF(ROW()=6,Table1[[#This Row],[Unadjusted Weight]]+$U$2,Table1[[#This Row],[Unadjusted Weight]])</f>
        <v>437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&amp;C&amp;"Calibri"&amp;12&amp;K000000 LGE Internal Use Only&amp;1#_x000D_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indexed="44"/>
  </sheetPr>
  <dimension ref="A1:P59"/>
  <sheetViews>
    <sheetView workbookViewId="0">
      <selection activeCell="A8" sqref="A8:F21"/>
    </sheetView>
  </sheetViews>
  <sheetFormatPr defaultRowHeight="13.2" x14ac:dyDescent="0.25"/>
  <cols>
    <col min="1" max="1" width="14.5546875" bestFit="1" customWidth="1"/>
    <col min="2" max="2" width="14" style="22" bestFit="1" customWidth="1"/>
    <col min="3" max="3" width="14.5546875" style="23" customWidth="1"/>
    <col min="4" max="4" width="14.5546875" customWidth="1"/>
    <col min="5" max="5" width="18.109375" customWidth="1"/>
    <col min="6" max="7" width="14" customWidth="1"/>
    <col min="9" max="9" width="14.6640625" customWidth="1"/>
    <col min="10" max="10" width="5" bestFit="1" customWidth="1"/>
    <col min="11" max="11" width="14" customWidth="1"/>
    <col min="12" max="12" width="11" customWidth="1"/>
    <col min="13" max="13" width="14.5546875" bestFit="1" customWidth="1"/>
    <col min="14" max="14" width="14" bestFit="1" customWidth="1"/>
    <col min="15" max="15" width="9.33203125" bestFit="1" customWidth="1"/>
  </cols>
  <sheetData>
    <row r="1" spans="1:16" x14ac:dyDescent="0.25">
      <c r="D1" s="39" t="s">
        <v>40</v>
      </c>
      <c r="E1" s="38"/>
      <c r="F1" s="40"/>
      <c r="J1">
        <f>COUNTA(I:I)-COUNTIFS(I:I,"(blank)")</f>
        <v>1</v>
      </c>
      <c r="K1" s="4"/>
      <c r="M1" s="118" t="s">
        <v>50</v>
      </c>
      <c r="N1" s="118"/>
      <c r="O1" s="118"/>
      <c r="P1" s="118"/>
    </row>
    <row r="2" spans="1:16" ht="13.8" thickBot="1" x14ac:dyDescent="0.3">
      <c r="C2" s="22"/>
      <c r="D2" s="37" t="s">
        <v>39</v>
      </c>
      <c r="E2" s="41" t="s">
        <v>106</v>
      </c>
      <c r="F2" s="42" t="s">
        <v>41</v>
      </c>
      <c r="G2" s="2"/>
      <c r="M2" s="3" t="s">
        <v>48</v>
      </c>
      <c r="N2" s="3" t="s">
        <v>47</v>
      </c>
      <c r="O2" s="5" t="s">
        <v>45</v>
      </c>
      <c r="P2" s="3" t="s">
        <v>46</v>
      </c>
    </row>
    <row r="3" spans="1:16" x14ac:dyDescent="0.25">
      <c r="C3" s="22"/>
      <c r="D3" s="46">
        <v>381</v>
      </c>
      <c r="E3" s="47">
        <v>437</v>
      </c>
      <c r="F3" s="48">
        <v>6359.5599999999968</v>
      </c>
      <c r="G3" s="27"/>
      <c r="N3">
        <v>23</v>
      </c>
      <c r="O3" s="4">
        <v>662</v>
      </c>
      <c r="P3">
        <v>6.0140000000000002</v>
      </c>
    </row>
    <row r="4" spans="1:16" x14ac:dyDescent="0.25">
      <c r="C4" s="22"/>
      <c r="F4" s="26"/>
      <c r="O4" s="26"/>
    </row>
    <row r="5" spans="1:16" x14ac:dyDescent="0.25">
      <c r="C5" s="22"/>
      <c r="O5" s="26"/>
    </row>
    <row r="6" spans="1:16" x14ac:dyDescent="0.25">
      <c r="A6" s="37"/>
      <c r="B6" s="38"/>
      <c r="C6" s="38"/>
      <c r="D6" s="39" t="s">
        <v>40</v>
      </c>
      <c r="E6" s="38"/>
      <c r="F6" s="40"/>
      <c r="I6" s="120" t="s">
        <v>59</v>
      </c>
      <c r="P6">
        <v>0.10100000000000001</v>
      </c>
    </row>
    <row r="7" spans="1:16" x14ac:dyDescent="0.25">
      <c r="A7" s="37" t="s">
        <v>37</v>
      </c>
      <c r="B7" s="37" t="s">
        <v>43</v>
      </c>
      <c r="C7" s="37" t="s">
        <v>38</v>
      </c>
      <c r="D7" s="37" t="s">
        <v>39</v>
      </c>
      <c r="E7" s="41" t="s">
        <v>106</v>
      </c>
      <c r="F7" s="42" t="s">
        <v>41</v>
      </c>
      <c r="I7" s="36" t="s">
        <v>158</v>
      </c>
      <c r="P7">
        <v>0.19600000000000001</v>
      </c>
    </row>
    <row r="8" spans="1:16" x14ac:dyDescent="0.25">
      <c r="A8" s="37">
        <v>84189990</v>
      </c>
      <c r="B8" s="37" t="s">
        <v>90</v>
      </c>
      <c r="C8" s="37" t="s">
        <v>166</v>
      </c>
      <c r="D8" s="37">
        <v>1</v>
      </c>
      <c r="E8" s="41">
        <v>1.1499999999999999</v>
      </c>
      <c r="F8" s="42">
        <v>9.31</v>
      </c>
      <c r="P8">
        <v>0.28799999999999998</v>
      </c>
    </row>
    <row r="9" spans="1:16" x14ac:dyDescent="0.25">
      <c r="A9" s="43">
        <v>84189990</v>
      </c>
      <c r="B9" s="43" t="s">
        <v>90</v>
      </c>
      <c r="C9" s="44" t="s">
        <v>664</v>
      </c>
      <c r="D9" s="44">
        <v>94</v>
      </c>
      <c r="E9">
        <v>107.86000000000035</v>
      </c>
      <c r="F9" s="45">
        <v>1169.3400000000001</v>
      </c>
    </row>
    <row r="10" spans="1:16" x14ac:dyDescent="0.25">
      <c r="A10" s="37">
        <v>84509000</v>
      </c>
      <c r="B10" s="37" t="s">
        <v>91</v>
      </c>
      <c r="C10" s="37" t="s">
        <v>166</v>
      </c>
      <c r="D10" s="37">
        <v>13</v>
      </c>
      <c r="E10" s="41">
        <v>14.91</v>
      </c>
      <c r="F10" s="42">
        <v>123.19</v>
      </c>
    </row>
    <row r="11" spans="1:16" x14ac:dyDescent="0.25">
      <c r="A11" s="43">
        <v>84509000</v>
      </c>
      <c r="B11" s="43" t="s">
        <v>91</v>
      </c>
      <c r="C11" s="44" t="s">
        <v>664</v>
      </c>
      <c r="D11" s="44">
        <v>143</v>
      </c>
      <c r="E11">
        <v>164.01000000000008</v>
      </c>
      <c r="F11" s="45">
        <v>1560.42</v>
      </c>
    </row>
    <row r="12" spans="1:16" x14ac:dyDescent="0.25">
      <c r="A12" s="37">
        <v>85087000</v>
      </c>
      <c r="B12" s="37" t="s">
        <v>93</v>
      </c>
      <c r="C12" s="37" t="s">
        <v>166</v>
      </c>
      <c r="D12" s="37">
        <v>1</v>
      </c>
      <c r="E12" s="41">
        <v>1.1499999999999999</v>
      </c>
      <c r="F12" s="42">
        <v>18.510000000000002</v>
      </c>
    </row>
    <row r="13" spans="1:16" x14ac:dyDescent="0.25">
      <c r="A13" s="43">
        <v>85087000</v>
      </c>
      <c r="B13" s="43" t="s">
        <v>93</v>
      </c>
      <c r="C13" s="44" t="s">
        <v>664</v>
      </c>
      <c r="D13" s="44">
        <v>3</v>
      </c>
      <c r="E13">
        <v>3.44</v>
      </c>
      <c r="F13" s="45">
        <v>18.78</v>
      </c>
    </row>
    <row r="14" spans="1:16" ht="13.8" thickBot="1" x14ac:dyDescent="0.3">
      <c r="A14" s="37">
        <v>85229000</v>
      </c>
      <c r="B14" s="37" t="s">
        <v>95</v>
      </c>
      <c r="C14" s="37" t="s">
        <v>166</v>
      </c>
      <c r="D14" s="37">
        <v>2</v>
      </c>
      <c r="E14" s="41">
        <v>2.29</v>
      </c>
      <c r="F14" s="42">
        <v>8.84</v>
      </c>
    </row>
    <row r="15" spans="1:16" x14ac:dyDescent="0.25">
      <c r="A15" s="37">
        <v>84159000</v>
      </c>
      <c r="B15" s="37" t="s">
        <v>89</v>
      </c>
      <c r="C15" s="37" t="s">
        <v>166</v>
      </c>
      <c r="D15" s="37">
        <v>2</v>
      </c>
      <c r="E15" s="41">
        <v>2.29</v>
      </c>
      <c r="F15" s="42">
        <v>25.04</v>
      </c>
      <c r="P15" s="14">
        <f>SUM(P3:P14)</f>
        <v>6.5990000000000002</v>
      </c>
    </row>
    <row r="16" spans="1:16" x14ac:dyDescent="0.25">
      <c r="A16" s="43">
        <v>84159000</v>
      </c>
      <c r="B16" s="43" t="s">
        <v>89</v>
      </c>
      <c r="C16" s="44" t="s">
        <v>664</v>
      </c>
      <c r="D16" s="44">
        <v>46</v>
      </c>
      <c r="E16">
        <v>52.739999999999981</v>
      </c>
      <c r="F16" s="45">
        <v>1343.5100000000002</v>
      </c>
    </row>
    <row r="17" spans="1:6" x14ac:dyDescent="0.25">
      <c r="A17" s="37">
        <v>85169000</v>
      </c>
      <c r="B17" s="37" t="s">
        <v>94</v>
      </c>
      <c r="C17" s="37" t="s">
        <v>664</v>
      </c>
      <c r="D17" s="37">
        <v>34</v>
      </c>
      <c r="E17" s="41">
        <v>38.989999999999988</v>
      </c>
      <c r="F17" s="42">
        <v>416.86</v>
      </c>
    </row>
    <row r="18" spans="1:6" x14ac:dyDescent="0.25">
      <c r="A18" s="43">
        <v>85169000</v>
      </c>
      <c r="B18" s="43" t="s">
        <v>94</v>
      </c>
      <c r="C18" s="44" t="s">
        <v>663</v>
      </c>
      <c r="D18" s="44">
        <v>2</v>
      </c>
      <c r="E18">
        <v>2.29</v>
      </c>
      <c r="F18" s="45">
        <v>47.78</v>
      </c>
    </row>
    <row r="19" spans="1:6" x14ac:dyDescent="0.25">
      <c r="A19" s="37">
        <v>85299090</v>
      </c>
      <c r="B19" s="37" t="s">
        <v>96</v>
      </c>
      <c r="C19" s="37" t="s">
        <v>186</v>
      </c>
      <c r="D19" s="37">
        <v>8</v>
      </c>
      <c r="E19" s="41">
        <v>9.17</v>
      </c>
      <c r="F19" s="42">
        <v>101.21</v>
      </c>
    </row>
    <row r="20" spans="1:6" x14ac:dyDescent="0.25">
      <c r="A20" s="43">
        <v>85299090</v>
      </c>
      <c r="B20" s="43" t="s">
        <v>96</v>
      </c>
      <c r="C20" s="44" t="s">
        <v>393</v>
      </c>
      <c r="D20" s="44">
        <v>4</v>
      </c>
      <c r="E20">
        <v>4.59</v>
      </c>
      <c r="F20" s="45">
        <v>44.34</v>
      </c>
    </row>
    <row r="21" spans="1:6" x14ac:dyDescent="0.25">
      <c r="A21" s="114">
        <v>85299090</v>
      </c>
      <c r="B21" s="114" t="s">
        <v>96</v>
      </c>
      <c r="C21" s="115" t="s">
        <v>664</v>
      </c>
      <c r="D21" s="115">
        <v>28</v>
      </c>
      <c r="E21" s="116">
        <v>32.11999999999999</v>
      </c>
      <c r="F21" s="117">
        <v>1472.4299999999998</v>
      </c>
    </row>
    <row r="22" spans="1:6" x14ac:dyDescent="0.25">
      <c r="B22"/>
      <c r="C22"/>
    </row>
    <row r="23" spans="1:6" x14ac:dyDescent="0.25">
      <c r="B23"/>
      <c r="C23"/>
    </row>
    <row r="24" spans="1:6" x14ac:dyDescent="0.25">
      <c r="B24"/>
      <c r="C24"/>
    </row>
    <row r="25" spans="1:6" x14ac:dyDescent="0.25">
      <c r="B25"/>
      <c r="C25"/>
    </row>
    <row r="26" spans="1:6" x14ac:dyDescent="0.25">
      <c r="B26"/>
      <c r="C26"/>
    </row>
    <row r="27" spans="1:6" x14ac:dyDescent="0.25">
      <c r="B27"/>
      <c r="C27"/>
    </row>
    <row r="28" spans="1:6" x14ac:dyDescent="0.25">
      <c r="B28"/>
      <c r="C28"/>
    </row>
    <row r="29" spans="1:6" x14ac:dyDescent="0.25">
      <c r="B29"/>
      <c r="C29"/>
      <c r="F29" s="26"/>
    </row>
    <row r="30" spans="1:6" x14ac:dyDescent="0.25">
      <c r="B30"/>
      <c r="C30"/>
      <c r="F30" s="26"/>
    </row>
    <row r="31" spans="1:6" x14ac:dyDescent="0.25">
      <c r="B31"/>
      <c r="C31"/>
      <c r="F31" s="26"/>
    </row>
    <row r="32" spans="1:6" x14ac:dyDescent="0.25">
      <c r="B32"/>
      <c r="C32"/>
      <c r="F32" s="26"/>
    </row>
    <row r="33" spans="2:16" x14ac:dyDescent="0.25">
      <c r="B33"/>
      <c r="C33"/>
      <c r="F33" s="26"/>
    </row>
    <row r="34" spans="2:16" x14ac:dyDescent="0.25">
      <c r="B34"/>
      <c r="C34"/>
      <c r="F34" s="26"/>
    </row>
    <row r="35" spans="2:16" x14ac:dyDescent="0.25">
      <c r="B35"/>
      <c r="C35"/>
      <c r="F35" s="26"/>
    </row>
    <row r="36" spans="2:16" x14ac:dyDescent="0.25">
      <c r="C36"/>
      <c r="F36" s="26"/>
    </row>
    <row r="37" spans="2:16" x14ac:dyDescent="0.25">
      <c r="C37"/>
      <c r="F37" s="26"/>
      <c r="G37" s="25"/>
      <c r="H37" s="25"/>
      <c r="J37" s="25"/>
      <c r="K37" s="25"/>
      <c r="L37" s="25"/>
      <c r="M37" s="25"/>
      <c r="N37" s="25"/>
      <c r="O37" s="25"/>
      <c r="P37" s="25"/>
    </row>
    <row r="38" spans="2:16" x14ac:dyDescent="0.25">
      <c r="C38"/>
      <c r="F38" s="26"/>
    </row>
    <row r="39" spans="2:16" x14ac:dyDescent="0.25">
      <c r="B39"/>
      <c r="C39"/>
      <c r="F39" s="26"/>
    </row>
    <row r="40" spans="2:16" x14ac:dyDescent="0.25">
      <c r="B40"/>
      <c r="C40"/>
      <c r="F40" s="26"/>
    </row>
    <row r="41" spans="2:16" x14ac:dyDescent="0.25">
      <c r="B41"/>
      <c r="C41"/>
      <c r="F41" s="26"/>
    </row>
    <row r="42" spans="2:16" x14ac:dyDescent="0.25">
      <c r="B42"/>
      <c r="C42"/>
      <c r="F42" s="26"/>
    </row>
    <row r="43" spans="2:16" x14ac:dyDescent="0.25">
      <c r="B43"/>
      <c r="C43"/>
      <c r="F43" s="26"/>
    </row>
    <row r="44" spans="2:16" x14ac:dyDescent="0.25">
      <c r="B44"/>
      <c r="C44"/>
      <c r="F44" s="26"/>
    </row>
    <row r="45" spans="2:16" x14ac:dyDescent="0.25">
      <c r="B45"/>
      <c r="C45"/>
      <c r="F45" s="26"/>
    </row>
    <row r="46" spans="2:16" x14ac:dyDescent="0.25">
      <c r="B46"/>
      <c r="C46"/>
      <c r="F46" s="26"/>
    </row>
    <row r="47" spans="2:16" x14ac:dyDescent="0.25">
      <c r="B47"/>
      <c r="C47"/>
      <c r="F47" s="26"/>
    </row>
    <row r="48" spans="2:16" x14ac:dyDescent="0.25">
      <c r="B48"/>
      <c r="C48"/>
      <c r="F48" s="26"/>
    </row>
    <row r="49" spans="2:6" x14ac:dyDescent="0.25">
      <c r="B49"/>
      <c r="C49"/>
      <c r="F49" s="26"/>
    </row>
    <row r="50" spans="2:6" x14ac:dyDescent="0.25">
      <c r="B50"/>
      <c r="C50"/>
      <c r="F50" s="26"/>
    </row>
    <row r="51" spans="2:6" x14ac:dyDescent="0.25">
      <c r="B51"/>
      <c r="C51"/>
      <c r="F51" s="26"/>
    </row>
    <row r="52" spans="2:6" x14ac:dyDescent="0.25">
      <c r="B52"/>
      <c r="C52"/>
      <c r="F52" s="26"/>
    </row>
    <row r="53" spans="2:6" x14ac:dyDescent="0.25">
      <c r="B53"/>
      <c r="C53"/>
      <c r="F53" s="26"/>
    </row>
    <row r="54" spans="2:6" x14ac:dyDescent="0.25">
      <c r="B54"/>
      <c r="C54"/>
      <c r="F54" s="26"/>
    </row>
    <row r="55" spans="2:6" x14ac:dyDescent="0.25">
      <c r="B55"/>
      <c r="C55"/>
      <c r="F55" s="26"/>
    </row>
    <row r="56" spans="2:6" x14ac:dyDescent="0.25">
      <c r="B56"/>
      <c r="C56"/>
      <c r="F56" s="26"/>
    </row>
    <row r="57" spans="2:6" x14ac:dyDescent="0.25">
      <c r="B57"/>
      <c r="C57"/>
    </row>
    <row r="58" spans="2:6" x14ac:dyDescent="0.25">
      <c r="B58"/>
      <c r="C58"/>
    </row>
    <row r="59" spans="2:6" x14ac:dyDescent="0.25">
      <c r="B59"/>
      <c r="C59"/>
    </row>
  </sheetData>
  <mergeCells count="1">
    <mergeCell ref="M1:P1"/>
  </mergeCells>
  <phoneticPr fontId="1" type="noConversion"/>
  <pageMargins left="0.75" right="0.75" top="1" bottom="1" header="0.5" footer="0.5"/>
  <pageSetup orientation="portrait" horizontalDpi="300" verticalDpi="300" r:id="rId4"/>
  <headerFooter alignWithMargins="0"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43"/>
    <pageSetUpPr fitToPage="1"/>
  </sheetPr>
  <dimension ref="B1:J57"/>
  <sheetViews>
    <sheetView showGridLines="0" showZeros="0" zoomScaleNormal="100" workbookViewId="0">
      <selection activeCell="C5" sqref="C5"/>
    </sheetView>
  </sheetViews>
  <sheetFormatPr defaultColWidth="9.109375" defaultRowHeight="13.8" x14ac:dyDescent="0.25"/>
  <cols>
    <col min="1" max="1" width="7.5546875" style="68" customWidth="1"/>
    <col min="2" max="2" width="1.109375" style="68" customWidth="1"/>
    <col min="3" max="3" width="16.44140625" style="69" customWidth="1"/>
    <col min="4" max="4" width="43.5546875" style="70" customWidth="1"/>
    <col min="5" max="5" width="21.6640625" style="71" customWidth="1"/>
    <col min="6" max="6" width="8.44140625" style="71" customWidth="1"/>
    <col min="7" max="7" width="18.44140625" style="71" customWidth="1"/>
    <col min="8" max="8" width="15.5546875" style="71" customWidth="1"/>
    <col min="9" max="9" width="1.109375" style="68" customWidth="1"/>
    <col min="10" max="10" width="9.109375" style="71"/>
    <col min="11" max="11" width="12.33203125" style="68" bestFit="1" customWidth="1"/>
    <col min="12" max="12" width="6" style="68" bestFit="1" customWidth="1"/>
    <col min="13" max="13" width="20.88671875" style="68" bestFit="1" customWidth="1"/>
    <col min="14" max="14" width="10.88671875" style="68" bestFit="1" customWidth="1"/>
    <col min="15" max="16384" width="9.109375" style="68"/>
  </cols>
  <sheetData>
    <row r="1" spans="2:10" ht="14.4" thickBot="1" x14ac:dyDescent="0.3">
      <c r="G1" s="72"/>
      <c r="H1" s="73"/>
      <c r="I1" s="74"/>
    </row>
    <row r="2" spans="2:10" ht="11.25" customHeight="1" x14ac:dyDescent="0.25">
      <c r="B2" s="75"/>
      <c r="C2" s="76"/>
      <c r="D2" s="77"/>
      <c r="E2" s="78"/>
      <c r="F2" s="78"/>
      <c r="G2" s="79"/>
      <c r="H2" s="79"/>
      <c r="I2" s="80"/>
    </row>
    <row r="3" spans="2:10" ht="24.75" customHeight="1" x14ac:dyDescent="0.25">
      <c r="B3" s="81"/>
      <c r="C3" s="119" t="s">
        <v>22</v>
      </c>
      <c r="D3" s="119"/>
      <c r="E3" s="119"/>
      <c r="F3" s="119"/>
      <c r="G3" s="119"/>
      <c r="H3" s="119"/>
      <c r="I3" s="82"/>
    </row>
    <row r="4" spans="2:10" ht="30.75" customHeight="1" x14ac:dyDescent="0.25">
      <c r="B4" s="81"/>
      <c r="C4" s="64" t="s">
        <v>20</v>
      </c>
      <c r="D4" s="65" t="s">
        <v>19</v>
      </c>
      <c r="E4" s="65" t="s">
        <v>18</v>
      </c>
      <c r="F4" s="65" t="s">
        <v>17</v>
      </c>
      <c r="G4" s="66" t="s">
        <v>21</v>
      </c>
      <c r="H4" s="66" t="s">
        <v>44</v>
      </c>
      <c r="I4" s="83"/>
    </row>
    <row r="5" spans="2:10" x14ac:dyDescent="0.25">
      <c r="B5" s="81"/>
      <c r="C5" s="49">
        <v>84189990</v>
      </c>
      <c r="D5" s="50" t="s">
        <v>90</v>
      </c>
      <c r="E5" s="50" t="s">
        <v>166</v>
      </c>
      <c r="F5" s="50">
        <v>1</v>
      </c>
      <c r="G5" s="51">
        <v>1.1499999999999999</v>
      </c>
      <c r="H5" s="52">
        <v>9.31</v>
      </c>
      <c r="I5" s="53"/>
      <c r="J5" s="84"/>
    </row>
    <row r="6" spans="2:10" x14ac:dyDescent="0.25">
      <c r="B6" s="81"/>
      <c r="C6" s="54">
        <v>84189990</v>
      </c>
      <c r="D6" s="55" t="s">
        <v>90</v>
      </c>
      <c r="E6" s="56" t="s">
        <v>664</v>
      </c>
      <c r="F6" s="56">
        <v>94</v>
      </c>
      <c r="G6" s="57">
        <v>107.86000000000035</v>
      </c>
      <c r="H6" s="58">
        <v>1169.3400000000001</v>
      </c>
      <c r="I6" s="53"/>
    </row>
    <row r="7" spans="2:10" x14ac:dyDescent="0.25">
      <c r="B7" s="81"/>
      <c r="C7" s="54">
        <v>84509000</v>
      </c>
      <c r="D7" s="55" t="s">
        <v>91</v>
      </c>
      <c r="E7" s="56" t="s">
        <v>166</v>
      </c>
      <c r="F7" s="56">
        <v>13</v>
      </c>
      <c r="G7" s="57">
        <v>14.91</v>
      </c>
      <c r="H7" s="58">
        <v>123.19</v>
      </c>
      <c r="I7" s="53"/>
    </row>
    <row r="8" spans="2:10" x14ac:dyDescent="0.25">
      <c r="B8" s="81"/>
      <c r="C8" s="49">
        <v>84509000</v>
      </c>
      <c r="D8" s="50" t="s">
        <v>91</v>
      </c>
      <c r="E8" s="50" t="s">
        <v>664</v>
      </c>
      <c r="F8" s="50">
        <v>143</v>
      </c>
      <c r="G8" s="51">
        <v>164.01000000000008</v>
      </c>
      <c r="H8" s="52">
        <v>1560.42</v>
      </c>
      <c r="I8" s="53"/>
    </row>
    <row r="9" spans="2:10" x14ac:dyDescent="0.25">
      <c r="B9" s="81"/>
      <c r="C9" s="54">
        <v>85087000</v>
      </c>
      <c r="D9" s="59" t="s">
        <v>93</v>
      </c>
      <c r="E9" s="56" t="s">
        <v>166</v>
      </c>
      <c r="F9" s="56">
        <v>1</v>
      </c>
      <c r="G9" s="57">
        <v>1.1499999999999999</v>
      </c>
      <c r="H9" s="58">
        <v>18.510000000000002</v>
      </c>
      <c r="I9" s="53"/>
    </row>
    <row r="10" spans="2:10" x14ac:dyDescent="0.25">
      <c r="B10" s="81"/>
      <c r="C10" s="54">
        <v>85087000</v>
      </c>
      <c r="D10" s="59" t="s">
        <v>93</v>
      </c>
      <c r="E10" s="56" t="s">
        <v>664</v>
      </c>
      <c r="F10" s="56">
        <v>3</v>
      </c>
      <c r="G10" s="57">
        <v>3.44</v>
      </c>
      <c r="H10" s="58">
        <v>18.78</v>
      </c>
      <c r="I10" s="53"/>
    </row>
    <row r="11" spans="2:10" x14ac:dyDescent="0.25">
      <c r="B11" s="81"/>
      <c r="C11" s="54">
        <v>85229000</v>
      </c>
      <c r="D11" s="59" t="s">
        <v>95</v>
      </c>
      <c r="E11" s="56" t="s">
        <v>166</v>
      </c>
      <c r="F11" s="56">
        <v>2</v>
      </c>
      <c r="G11" s="57">
        <v>2.29</v>
      </c>
      <c r="H11" s="58">
        <v>8.84</v>
      </c>
      <c r="I11" s="53"/>
    </row>
    <row r="12" spans="2:10" x14ac:dyDescent="0.25">
      <c r="B12" s="81"/>
      <c r="C12" s="54">
        <v>84159000</v>
      </c>
      <c r="D12" s="59" t="s">
        <v>89</v>
      </c>
      <c r="E12" s="56" t="s">
        <v>166</v>
      </c>
      <c r="F12" s="56">
        <v>2</v>
      </c>
      <c r="G12" s="57">
        <v>2.29</v>
      </c>
      <c r="H12" s="58">
        <v>25.04</v>
      </c>
      <c r="I12" s="53"/>
    </row>
    <row r="13" spans="2:10" x14ac:dyDescent="0.25">
      <c r="B13" s="81"/>
      <c r="C13" s="49">
        <v>84159000</v>
      </c>
      <c r="D13" s="50" t="s">
        <v>89</v>
      </c>
      <c r="E13" s="50" t="s">
        <v>664</v>
      </c>
      <c r="F13" s="50">
        <v>46</v>
      </c>
      <c r="G13" s="51">
        <v>52.739999999999981</v>
      </c>
      <c r="H13" s="52">
        <v>1343.5100000000002</v>
      </c>
      <c r="I13" s="53"/>
    </row>
    <row r="14" spans="2:10" x14ac:dyDescent="0.25">
      <c r="B14" s="81"/>
      <c r="C14" s="49">
        <v>85169000</v>
      </c>
      <c r="D14" s="50" t="s">
        <v>94</v>
      </c>
      <c r="E14" s="50" t="s">
        <v>664</v>
      </c>
      <c r="F14" s="50">
        <v>34</v>
      </c>
      <c r="G14" s="51">
        <v>38.989999999999988</v>
      </c>
      <c r="H14" s="52">
        <v>416.86</v>
      </c>
      <c r="I14" s="53"/>
    </row>
    <row r="15" spans="2:10" x14ac:dyDescent="0.25">
      <c r="B15" s="81"/>
      <c r="C15" s="54">
        <v>85169000</v>
      </c>
      <c r="D15" s="59" t="s">
        <v>94</v>
      </c>
      <c r="E15" s="56" t="s">
        <v>663</v>
      </c>
      <c r="F15" s="56">
        <v>2</v>
      </c>
      <c r="G15" s="57">
        <v>2.29</v>
      </c>
      <c r="H15" s="58">
        <v>47.78</v>
      </c>
      <c r="I15" s="53"/>
    </row>
    <row r="16" spans="2:10" x14ac:dyDescent="0.25">
      <c r="B16" s="81"/>
      <c r="C16" s="49">
        <v>85299090</v>
      </c>
      <c r="D16" s="50" t="s">
        <v>96</v>
      </c>
      <c r="E16" s="50" t="s">
        <v>186</v>
      </c>
      <c r="F16" s="50">
        <v>8</v>
      </c>
      <c r="G16" s="51">
        <v>9.17</v>
      </c>
      <c r="H16" s="52">
        <v>101.21</v>
      </c>
      <c r="I16" s="53"/>
    </row>
    <row r="17" spans="2:9" x14ac:dyDescent="0.25">
      <c r="B17" s="81"/>
      <c r="C17" s="54">
        <v>85299090</v>
      </c>
      <c r="D17" s="55" t="s">
        <v>96</v>
      </c>
      <c r="E17" s="56" t="s">
        <v>393</v>
      </c>
      <c r="F17" s="56">
        <v>4</v>
      </c>
      <c r="G17" s="57">
        <v>4.59</v>
      </c>
      <c r="H17" s="58">
        <v>44.34</v>
      </c>
      <c r="I17" s="53"/>
    </row>
    <row r="18" spans="2:9" x14ac:dyDescent="0.25">
      <c r="B18" s="81"/>
      <c r="C18" s="49">
        <v>85299090</v>
      </c>
      <c r="D18" s="50" t="s">
        <v>96</v>
      </c>
      <c r="E18" s="50" t="s">
        <v>664</v>
      </c>
      <c r="F18" s="50">
        <v>28</v>
      </c>
      <c r="G18" s="51">
        <v>32.11999999999999</v>
      </c>
      <c r="H18" s="52">
        <v>1472.4299999999998</v>
      </c>
      <c r="I18" s="53"/>
    </row>
    <row r="19" spans="2:9" hidden="1" x14ac:dyDescent="0.25">
      <c r="B19" s="81"/>
      <c r="C19" s="49"/>
      <c r="D19" s="50"/>
      <c r="E19" s="50"/>
      <c r="F19" s="50"/>
      <c r="G19" s="51"/>
      <c r="H19" s="52"/>
      <c r="I19" s="53"/>
    </row>
    <row r="20" spans="2:9" hidden="1" x14ac:dyDescent="0.25">
      <c r="B20" s="81"/>
      <c r="C20" s="54"/>
      <c r="D20" s="55"/>
      <c r="E20" s="56"/>
      <c r="F20" s="56"/>
      <c r="G20" s="57"/>
      <c r="H20" s="58"/>
      <c r="I20" s="53"/>
    </row>
    <row r="21" spans="2:9" hidden="1" x14ac:dyDescent="0.25">
      <c r="B21" s="81"/>
      <c r="C21" s="60"/>
      <c r="D21" s="61"/>
      <c r="E21" s="61"/>
      <c r="F21" s="61"/>
      <c r="G21" s="62"/>
      <c r="H21" s="63"/>
      <c r="I21" s="53"/>
    </row>
    <row r="22" spans="2:9" hidden="1" x14ac:dyDescent="0.25">
      <c r="B22" s="81"/>
      <c r="C22" s="64"/>
      <c r="D22" s="65"/>
      <c r="E22" s="65"/>
      <c r="F22" s="65"/>
      <c r="G22" s="66"/>
      <c r="H22" s="66"/>
      <c r="I22" s="53"/>
    </row>
    <row r="23" spans="2:9" hidden="1" x14ac:dyDescent="0.25">
      <c r="B23" s="81"/>
      <c r="C23" s="64"/>
      <c r="D23" s="65"/>
      <c r="E23" s="65"/>
      <c r="F23" s="65"/>
      <c r="G23" s="66"/>
      <c r="H23" s="66"/>
      <c r="I23" s="53"/>
    </row>
    <row r="24" spans="2:9" hidden="1" x14ac:dyDescent="0.25">
      <c r="B24" s="81"/>
      <c r="C24" s="64"/>
      <c r="D24" s="65"/>
      <c r="E24" s="65"/>
      <c r="F24" s="65"/>
      <c r="G24" s="66"/>
      <c r="H24" s="66"/>
      <c r="I24" s="53"/>
    </row>
    <row r="25" spans="2:9" hidden="1" x14ac:dyDescent="0.25">
      <c r="B25" s="81"/>
      <c r="C25" s="64"/>
      <c r="D25" s="65"/>
      <c r="E25" s="65"/>
      <c r="F25" s="65"/>
      <c r="G25" s="66"/>
      <c r="H25" s="66"/>
      <c r="I25" s="53"/>
    </row>
    <row r="26" spans="2:9" hidden="1" x14ac:dyDescent="0.25">
      <c r="B26" s="81"/>
      <c r="C26" s="64"/>
      <c r="D26" s="65"/>
      <c r="E26" s="65"/>
      <c r="F26" s="65"/>
      <c r="G26" s="66"/>
      <c r="H26" s="66"/>
      <c r="I26" s="53"/>
    </row>
    <row r="27" spans="2:9" hidden="1" x14ac:dyDescent="0.25">
      <c r="B27" s="81"/>
      <c r="C27" s="64"/>
      <c r="D27" s="65"/>
      <c r="E27" s="65"/>
      <c r="F27" s="65"/>
      <c r="G27" s="66"/>
      <c r="H27" s="66"/>
      <c r="I27" s="53"/>
    </row>
    <row r="28" spans="2:9" hidden="1" x14ac:dyDescent="0.25">
      <c r="B28" s="81"/>
      <c r="C28" s="64"/>
      <c r="D28" s="65"/>
      <c r="E28" s="65"/>
      <c r="F28" s="65"/>
      <c r="G28" s="66"/>
      <c r="H28" s="66"/>
      <c r="I28" s="53"/>
    </row>
    <row r="29" spans="2:9" hidden="1" x14ac:dyDescent="0.25">
      <c r="B29" s="81"/>
      <c r="C29" s="64"/>
      <c r="D29" s="65"/>
      <c r="E29" s="65"/>
      <c r="F29" s="65"/>
      <c r="G29" s="66"/>
      <c r="H29" s="66"/>
      <c r="I29" s="53"/>
    </row>
    <row r="30" spans="2:9" hidden="1" x14ac:dyDescent="0.25">
      <c r="B30" s="81"/>
      <c r="C30" s="64"/>
      <c r="D30" s="65"/>
      <c r="E30" s="65"/>
      <c r="F30" s="65"/>
      <c r="G30" s="66"/>
      <c r="H30" s="66"/>
      <c r="I30" s="53"/>
    </row>
    <row r="31" spans="2:9" hidden="1" x14ac:dyDescent="0.25">
      <c r="B31" s="81"/>
      <c r="C31" s="64"/>
      <c r="D31" s="65"/>
      <c r="E31" s="65"/>
      <c r="F31" s="65"/>
      <c r="G31" s="66"/>
      <c r="H31" s="66"/>
      <c r="I31" s="53"/>
    </row>
    <row r="32" spans="2:9" hidden="1" x14ac:dyDescent="0.25">
      <c r="B32" s="81"/>
      <c r="C32" s="64"/>
      <c r="D32" s="65"/>
      <c r="E32" s="65"/>
      <c r="F32" s="65"/>
      <c r="G32" s="66"/>
      <c r="H32" s="66"/>
      <c r="I32" s="53"/>
    </row>
    <row r="33" spans="2:9" hidden="1" x14ac:dyDescent="0.25">
      <c r="B33" s="81"/>
      <c r="C33" s="64"/>
      <c r="D33" s="65"/>
      <c r="E33" s="65"/>
      <c r="F33" s="65"/>
      <c r="G33" s="66"/>
      <c r="H33" s="66"/>
      <c r="I33" s="53"/>
    </row>
    <row r="34" spans="2:9" hidden="1" x14ac:dyDescent="0.25">
      <c r="B34" s="81"/>
      <c r="C34" s="64"/>
      <c r="D34" s="65"/>
      <c r="E34" s="65"/>
      <c r="F34" s="65"/>
      <c r="G34" s="66"/>
      <c r="H34" s="66"/>
      <c r="I34" s="53"/>
    </row>
    <row r="35" spans="2:9" hidden="1" x14ac:dyDescent="0.25">
      <c r="B35" s="81"/>
      <c r="C35" s="64"/>
      <c r="D35" s="65"/>
      <c r="E35" s="65"/>
      <c r="F35" s="65"/>
      <c r="G35" s="66"/>
      <c r="H35" s="66"/>
      <c r="I35" s="53"/>
    </row>
    <row r="36" spans="2:9" hidden="1" x14ac:dyDescent="0.25">
      <c r="B36" s="81"/>
      <c r="C36" s="64"/>
      <c r="D36" s="65"/>
      <c r="E36" s="65"/>
      <c r="F36" s="65"/>
      <c r="G36" s="66"/>
      <c r="H36" s="66"/>
      <c r="I36" s="53"/>
    </row>
    <row r="37" spans="2:9" hidden="1" x14ac:dyDescent="0.25">
      <c r="B37" s="81"/>
      <c r="C37" s="64"/>
      <c r="D37" s="65"/>
      <c r="E37" s="65"/>
      <c r="F37" s="65"/>
      <c r="G37" s="66"/>
      <c r="H37" s="66"/>
      <c r="I37" s="53"/>
    </row>
    <row r="38" spans="2:9" hidden="1" x14ac:dyDescent="0.25">
      <c r="B38" s="81"/>
      <c r="C38" s="64"/>
      <c r="D38" s="65"/>
      <c r="E38" s="65"/>
      <c r="F38" s="65"/>
      <c r="G38" s="66"/>
      <c r="H38" s="66"/>
      <c r="I38" s="53"/>
    </row>
    <row r="39" spans="2:9" hidden="1" x14ac:dyDescent="0.25">
      <c r="B39" s="81"/>
      <c r="C39" s="64"/>
      <c r="D39" s="65"/>
      <c r="E39" s="65"/>
      <c r="F39" s="65"/>
      <c r="G39" s="66"/>
      <c r="H39" s="66"/>
      <c r="I39" s="53"/>
    </row>
    <row r="40" spans="2:9" hidden="1" x14ac:dyDescent="0.25">
      <c r="B40" s="81"/>
      <c r="C40" s="64"/>
      <c r="D40" s="65"/>
      <c r="E40" s="65"/>
      <c r="F40" s="65"/>
      <c r="G40" s="66"/>
      <c r="H40" s="66"/>
      <c r="I40" s="53"/>
    </row>
    <row r="41" spans="2:9" hidden="1" x14ac:dyDescent="0.25">
      <c r="B41" s="81"/>
      <c r="C41" s="64"/>
      <c r="D41" s="65"/>
      <c r="E41" s="65"/>
      <c r="F41" s="65"/>
      <c r="G41" s="66"/>
      <c r="H41" s="66"/>
      <c r="I41" s="53"/>
    </row>
    <row r="42" spans="2:9" hidden="1" x14ac:dyDescent="0.25">
      <c r="B42" s="81"/>
      <c r="C42" s="64"/>
      <c r="D42" s="65"/>
      <c r="E42" s="65"/>
      <c r="F42" s="65"/>
      <c r="G42" s="66"/>
      <c r="H42" s="66"/>
      <c r="I42" s="53"/>
    </row>
    <row r="43" spans="2:9" hidden="1" x14ac:dyDescent="0.25">
      <c r="B43" s="81"/>
      <c r="C43" s="64"/>
      <c r="D43" s="65"/>
      <c r="E43" s="65"/>
      <c r="F43" s="65"/>
      <c r="G43" s="66"/>
      <c r="H43" s="66"/>
      <c r="I43" s="53"/>
    </row>
    <row r="44" spans="2:9" hidden="1" x14ac:dyDescent="0.25">
      <c r="B44" s="81"/>
      <c r="C44" s="64"/>
      <c r="D44" s="65"/>
      <c r="E44" s="65"/>
      <c r="F44" s="65"/>
      <c r="G44" s="66"/>
      <c r="H44" s="66"/>
      <c r="I44" s="53"/>
    </row>
    <row r="45" spans="2:9" x14ac:dyDescent="0.25">
      <c r="B45" s="81"/>
      <c r="C45" s="64"/>
      <c r="D45" s="65"/>
      <c r="E45" s="65"/>
      <c r="F45" s="65"/>
      <c r="G45" s="66"/>
      <c r="H45" s="66"/>
      <c r="I45" s="53"/>
    </row>
    <row r="46" spans="2:9" ht="19.5" customHeight="1" thickBot="1" x14ac:dyDescent="0.3">
      <c r="B46" s="81"/>
      <c r="C46" s="85"/>
      <c r="D46" s="86" t="str">
        <f>"( "&amp;F46&amp;" PCS PACKED IN "&amp;PivotHelp!$J$1&amp;" PKGS )"</f>
        <v>( 381 PCS PACKED IN 1 PKGS )</v>
      </c>
      <c r="E46" s="67"/>
      <c r="F46" s="67">
        <f>SUM(F5:F45)</f>
        <v>381</v>
      </c>
      <c r="G46" s="87">
        <f>SUM(G5:G45)</f>
        <v>437.0000000000004</v>
      </c>
      <c r="H46" s="88">
        <f>SUM(H5:H45)</f>
        <v>6359.5599999999995</v>
      </c>
      <c r="I46" s="89"/>
    </row>
    <row r="47" spans="2:9" ht="14.4" thickTop="1" x14ac:dyDescent="0.25">
      <c r="B47" s="81"/>
      <c r="I47" s="90"/>
    </row>
    <row r="48" spans="2:9" x14ac:dyDescent="0.25">
      <c r="B48" s="81"/>
      <c r="I48" s="90"/>
    </row>
    <row r="49" spans="2:9" x14ac:dyDescent="0.25">
      <c r="B49" s="81"/>
      <c r="I49" s="90"/>
    </row>
    <row r="50" spans="2:9" x14ac:dyDescent="0.25">
      <c r="B50" s="81"/>
      <c r="I50" s="90"/>
    </row>
    <row r="51" spans="2:9" x14ac:dyDescent="0.25">
      <c r="B51" s="81"/>
      <c r="D51" s="91" t="s">
        <v>88</v>
      </c>
      <c r="I51" s="90"/>
    </row>
    <row r="52" spans="2:9" x14ac:dyDescent="0.25">
      <c r="B52" s="81"/>
      <c r="I52" s="90"/>
    </row>
    <row r="53" spans="2:9" x14ac:dyDescent="0.25">
      <c r="B53" s="81"/>
      <c r="I53" s="90"/>
    </row>
    <row r="54" spans="2:9" ht="14.4" thickBot="1" x14ac:dyDescent="0.3">
      <c r="B54" s="92"/>
      <c r="C54" s="93"/>
      <c r="D54" s="94"/>
      <c r="E54" s="95"/>
      <c r="F54" s="95"/>
      <c r="G54" s="95"/>
      <c r="H54" s="95"/>
      <c r="I54" s="96"/>
    </row>
    <row r="57" spans="2:9" x14ac:dyDescent="0.25">
      <c r="D57" s="71"/>
    </row>
  </sheetData>
  <mergeCells count="1">
    <mergeCell ref="C3:H3"/>
  </mergeCells>
  <phoneticPr fontId="0" type="noConversion"/>
  <conditionalFormatting sqref="C4:H4">
    <cfRule type="notContainsBlanks" dxfId="5" priority="1">
      <formula>LEN(TRIM(C4))&gt;0</formula>
    </cfRule>
  </conditionalFormatting>
  <conditionalFormatting sqref="C5:I27 C28 E28:I28 C29:I45">
    <cfRule type="notContainsBlanks" dxfId="4" priority="4">
      <formula>LEN(TRIM(C5))&gt;0</formula>
    </cfRule>
  </conditionalFormatting>
  <pageMargins left="0.4" right="0.47244094488188998" top="0.35433070866141703" bottom="1.2992125984252001" header="0.17" footer="0.23622047244094499"/>
  <pageSetup paperSize="9" scale="76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C27" sqref="C27"/>
    </sheetView>
  </sheetViews>
  <sheetFormatPr defaultColWidth="9.109375" defaultRowHeight="16.8" x14ac:dyDescent="0.3"/>
  <cols>
    <col min="1" max="1" width="17.5546875" style="108" bestFit="1" customWidth="1"/>
    <col min="2" max="2" width="54" style="108" bestFit="1" customWidth="1"/>
    <col min="3" max="3" width="11.5546875" style="107" bestFit="1" customWidth="1"/>
    <col min="4" max="4" width="14" style="107" bestFit="1" customWidth="1"/>
    <col min="5" max="5" width="15.88671875" style="107" bestFit="1" customWidth="1"/>
    <col min="6" max="6" width="21.33203125" style="107" bestFit="1" customWidth="1"/>
    <col min="7" max="16384" width="9.109375" style="107"/>
  </cols>
  <sheetData>
    <row r="1" spans="1:6" x14ac:dyDescent="0.3">
      <c r="A1" s="97" t="s">
        <v>123</v>
      </c>
      <c r="B1" s="97" t="s">
        <v>124</v>
      </c>
      <c r="C1" s="97" t="s">
        <v>125</v>
      </c>
      <c r="D1" s="97" t="s">
        <v>126</v>
      </c>
      <c r="E1" s="97" t="s">
        <v>127</v>
      </c>
      <c r="F1" s="98" t="s">
        <v>128</v>
      </c>
    </row>
    <row r="2" spans="1:6" x14ac:dyDescent="0.3">
      <c r="A2" s="109" t="s">
        <v>120</v>
      </c>
      <c r="B2" s="99" t="s">
        <v>129</v>
      </c>
      <c r="C2" s="99">
        <v>85299090</v>
      </c>
      <c r="D2" s="99" t="s">
        <v>130</v>
      </c>
      <c r="E2" s="100" t="s">
        <v>131</v>
      </c>
      <c r="F2" s="101">
        <v>854040000000</v>
      </c>
    </row>
    <row r="3" spans="1:6" x14ac:dyDescent="0.3">
      <c r="A3" s="109" t="s">
        <v>132</v>
      </c>
      <c r="B3" s="99" t="s">
        <v>129</v>
      </c>
      <c r="C3" s="99">
        <v>85299090</v>
      </c>
      <c r="D3" s="99" t="s">
        <v>130</v>
      </c>
      <c r="E3" s="100" t="s">
        <v>131</v>
      </c>
      <c r="F3" s="101">
        <v>854040000000</v>
      </c>
    </row>
    <row r="4" spans="1:6" x14ac:dyDescent="0.3">
      <c r="A4" s="109" t="s">
        <v>133</v>
      </c>
      <c r="B4" s="99" t="s">
        <v>129</v>
      </c>
      <c r="C4" s="99">
        <v>85299090</v>
      </c>
      <c r="D4" s="99" t="s">
        <v>130</v>
      </c>
      <c r="E4" s="100" t="s">
        <v>131</v>
      </c>
      <c r="F4" s="101">
        <v>854040000000</v>
      </c>
    </row>
    <row r="5" spans="1:6" x14ac:dyDescent="0.3">
      <c r="A5" s="109" t="s">
        <v>122</v>
      </c>
      <c r="B5" s="99" t="s">
        <v>129</v>
      </c>
      <c r="C5" s="99">
        <v>85299090</v>
      </c>
      <c r="D5" s="99" t="s">
        <v>130</v>
      </c>
      <c r="E5" s="100" t="s">
        <v>131</v>
      </c>
      <c r="F5" s="101">
        <v>854040000000</v>
      </c>
    </row>
    <row r="6" spans="1:6" x14ac:dyDescent="0.3">
      <c r="A6" s="109" t="s">
        <v>117</v>
      </c>
      <c r="B6" s="99" t="s">
        <v>134</v>
      </c>
      <c r="C6" s="99">
        <v>85229000</v>
      </c>
      <c r="D6" s="99" t="s">
        <v>130</v>
      </c>
      <c r="E6" s="100" t="s">
        <v>131</v>
      </c>
      <c r="F6" s="101">
        <v>854370900004</v>
      </c>
    </row>
    <row r="7" spans="1:6" x14ac:dyDescent="0.3">
      <c r="A7" s="109" t="s">
        <v>119</v>
      </c>
      <c r="B7" s="99" t="s">
        <v>134</v>
      </c>
      <c r="C7" s="99">
        <v>85229000</v>
      </c>
      <c r="D7" s="99" t="s">
        <v>130</v>
      </c>
      <c r="E7" s="100" t="s">
        <v>131</v>
      </c>
      <c r="F7" s="101">
        <v>854370900004</v>
      </c>
    </row>
    <row r="8" spans="1:6" x14ac:dyDescent="0.3">
      <c r="A8" s="109" t="s">
        <v>118</v>
      </c>
      <c r="B8" s="102" t="s">
        <v>135</v>
      </c>
      <c r="C8" s="102">
        <v>85169000</v>
      </c>
      <c r="D8" s="99" t="s">
        <v>130</v>
      </c>
      <c r="E8" s="100" t="s">
        <v>131</v>
      </c>
      <c r="F8" s="103">
        <v>854071000000</v>
      </c>
    </row>
    <row r="9" spans="1:6" x14ac:dyDescent="0.3">
      <c r="A9" s="109" t="s">
        <v>116</v>
      </c>
      <c r="B9" s="102" t="s">
        <v>136</v>
      </c>
      <c r="C9" s="102">
        <v>84189990</v>
      </c>
      <c r="D9" s="99" t="s">
        <v>130</v>
      </c>
      <c r="E9" s="100" t="s">
        <v>131</v>
      </c>
      <c r="F9" s="103">
        <v>841899100000</v>
      </c>
    </row>
    <row r="10" spans="1:6" x14ac:dyDescent="0.3">
      <c r="A10" s="109" t="s">
        <v>76</v>
      </c>
      <c r="B10" s="102" t="s">
        <v>137</v>
      </c>
      <c r="C10" s="102">
        <v>84159000</v>
      </c>
      <c r="D10" s="99" t="s">
        <v>130</v>
      </c>
      <c r="E10" s="100" t="s">
        <v>131</v>
      </c>
      <c r="F10" s="104">
        <v>841790000000</v>
      </c>
    </row>
    <row r="11" spans="1:6" x14ac:dyDescent="0.3">
      <c r="A11" s="109" t="s">
        <v>115</v>
      </c>
      <c r="B11" s="102" t="s">
        <v>138</v>
      </c>
      <c r="C11" s="102">
        <v>84509000</v>
      </c>
      <c r="D11" s="99" t="s">
        <v>130</v>
      </c>
      <c r="E11" s="100" t="s">
        <v>131</v>
      </c>
      <c r="F11" s="101">
        <v>871690100001</v>
      </c>
    </row>
    <row r="12" spans="1:6" x14ac:dyDescent="0.3">
      <c r="A12" s="109" t="s">
        <v>139</v>
      </c>
      <c r="B12" s="99" t="s">
        <v>140</v>
      </c>
      <c r="C12" s="99">
        <v>85087000</v>
      </c>
      <c r="D12" s="99" t="s">
        <v>130</v>
      </c>
      <c r="E12" s="105" t="s">
        <v>131</v>
      </c>
      <c r="F12" s="101">
        <v>850590000000</v>
      </c>
    </row>
    <row r="13" spans="1:6" x14ac:dyDescent="0.3">
      <c r="A13" s="109" t="s">
        <v>121</v>
      </c>
      <c r="B13" s="99" t="s">
        <v>140</v>
      </c>
      <c r="C13" s="99">
        <v>85087000</v>
      </c>
      <c r="D13" s="99" t="s">
        <v>130</v>
      </c>
      <c r="E13" s="105" t="s">
        <v>131</v>
      </c>
      <c r="F13" s="101">
        <v>850590000000</v>
      </c>
    </row>
    <row r="14" spans="1:6" x14ac:dyDescent="0.3">
      <c r="A14" s="109" t="s">
        <v>141</v>
      </c>
      <c r="B14" s="99" t="s">
        <v>142</v>
      </c>
      <c r="C14" s="99">
        <v>84733000</v>
      </c>
      <c r="D14" s="99" t="s">
        <v>130</v>
      </c>
      <c r="E14" s="100" t="s">
        <v>131</v>
      </c>
      <c r="F14" s="104">
        <v>854040000000</v>
      </c>
    </row>
    <row r="15" spans="1:6" x14ac:dyDescent="0.3">
      <c r="A15" s="109" t="s">
        <v>143</v>
      </c>
      <c r="B15" s="99" t="s">
        <v>144</v>
      </c>
      <c r="C15" s="99">
        <v>85176290</v>
      </c>
      <c r="D15" s="99" t="s">
        <v>130</v>
      </c>
      <c r="E15" s="100" t="s">
        <v>131</v>
      </c>
      <c r="F15" s="101">
        <v>854590000003</v>
      </c>
    </row>
    <row r="16" spans="1:6" x14ac:dyDescent="0.3">
      <c r="A16" s="109" t="s">
        <v>149</v>
      </c>
      <c r="B16" s="109" t="s">
        <v>97</v>
      </c>
      <c r="C16" s="110">
        <v>84219900</v>
      </c>
      <c r="D16" s="99" t="s">
        <v>130</v>
      </c>
      <c r="E16" s="100" t="s">
        <v>131</v>
      </c>
      <c r="F16" s="101">
        <v>842139000002</v>
      </c>
    </row>
    <row r="17" spans="1:6" x14ac:dyDescent="0.3">
      <c r="A17" s="109"/>
      <c r="B17" s="102" t="s">
        <v>145</v>
      </c>
      <c r="C17" s="102">
        <v>84143000</v>
      </c>
      <c r="D17" s="102" t="s">
        <v>130</v>
      </c>
      <c r="E17" s="106" t="s">
        <v>146</v>
      </c>
      <c r="F17" s="101">
        <v>841430000000</v>
      </c>
    </row>
    <row r="18" spans="1:6" x14ac:dyDescent="0.3">
      <c r="A18" s="109"/>
      <c r="B18" s="102" t="s">
        <v>147</v>
      </c>
      <c r="C18" s="102">
        <v>84143000</v>
      </c>
      <c r="D18" s="102" t="s">
        <v>130</v>
      </c>
      <c r="E18" s="106" t="s">
        <v>146</v>
      </c>
      <c r="F18" s="101">
        <v>841430000000</v>
      </c>
    </row>
    <row r="19" spans="1:6" x14ac:dyDescent="0.3">
      <c r="A19" s="109"/>
      <c r="B19" s="102" t="s">
        <v>108</v>
      </c>
      <c r="C19" s="102">
        <v>85076000</v>
      </c>
      <c r="D19" s="102" t="s">
        <v>130</v>
      </c>
      <c r="E19" s="106" t="s">
        <v>146</v>
      </c>
      <c r="F19" s="101">
        <v>850610100000</v>
      </c>
    </row>
    <row r="20" spans="1:6" x14ac:dyDescent="0.3">
      <c r="A20" s="109"/>
      <c r="B20" s="102" t="s">
        <v>148</v>
      </c>
      <c r="C20" s="99">
        <v>85011000</v>
      </c>
      <c r="D20" s="102" t="s">
        <v>130</v>
      </c>
      <c r="E20" s="106" t="s">
        <v>146</v>
      </c>
      <c r="F20" s="101">
        <v>850110000001</v>
      </c>
    </row>
    <row r="21" spans="1:6" x14ac:dyDescent="0.3">
      <c r="A21" s="107"/>
      <c r="B21" s="107"/>
    </row>
  </sheetData>
  <conditionalFormatting sqref="A1 E1">
    <cfRule type="duplicateValues" dxfId="3" priority="2"/>
  </conditionalFormatting>
  <conditionalFormatting sqref="A1:A15 A17:A20">
    <cfRule type="duplicateValues" dxfId="2" priority="1"/>
  </conditionalFormatting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G5"/>
  <sheetViews>
    <sheetView workbookViewId="0">
      <selection activeCell="B13" sqref="B13"/>
    </sheetView>
  </sheetViews>
  <sheetFormatPr defaultRowHeight="13.2" x14ac:dyDescent="0.25"/>
  <cols>
    <col min="1" max="1" width="21.33203125" customWidth="1"/>
    <col min="2" max="2" width="32.109375" customWidth="1"/>
    <col min="3" max="3" width="9.6640625" customWidth="1"/>
    <col min="4" max="5" width="23.6640625" customWidth="1"/>
  </cols>
  <sheetData>
    <row r="1" spans="1:7" x14ac:dyDescent="0.25">
      <c r="B1" s="2"/>
    </row>
    <row r="2" spans="1:7" ht="14.4" x14ac:dyDescent="0.3">
      <c r="A2" s="2" t="s">
        <v>103</v>
      </c>
      <c r="B2" s="30" t="s">
        <v>152</v>
      </c>
      <c r="F2" s="16"/>
      <c r="G2" s="17"/>
    </row>
    <row r="3" spans="1:7" x14ac:dyDescent="0.25">
      <c r="A3" s="2" t="s">
        <v>100</v>
      </c>
      <c r="B3" s="31"/>
    </row>
    <row r="4" spans="1:7" ht="14.4" x14ac:dyDescent="0.3">
      <c r="A4" s="2" t="s">
        <v>101</v>
      </c>
      <c r="B4" s="28" t="str">
        <f ca="1">TEXT(NOW(), "mmm-dd-yy hh.mm")</f>
        <v>Jul-25-25 21.11</v>
      </c>
    </row>
    <row r="5" spans="1:7" x14ac:dyDescent="0.25">
      <c r="A5" s="2" t="s">
        <v>102</v>
      </c>
      <c r="B5" t="str">
        <f ca="1">B3&amp;"_"&amp;B4</f>
        <v>_Jul-25-25 21.11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3"/>
  <sheetViews>
    <sheetView tabSelected="1" topLeftCell="E152" workbookViewId="0">
      <selection activeCell="H162" sqref="H162"/>
    </sheetView>
  </sheetViews>
  <sheetFormatPr defaultRowHeight="13.2" x14ac:dyDescent="0.25"/>
  <cols>
    <col min="1" max="1" width="14.6640625" bestFit="1" customWidth="1"/>
    <col min="7" max="7" width="14.88671875" customWidth="1"/>
    <col min="8" max="8" width="50.6640625" bestFit="1" customWidth="1"/>
    <col min="9" max="9" width="50.6640625" customWidth="1"/>
    <col min="10" max="10" width="25.109375" customWidth="1"/>
    <col min="11" max="14" width="9.109375" customWidth="1"/>
    <col min="19" max="19" width="14.5546875" bestFit="1" customWidth="1"/>
  </cols>
  <sheetData>
    <row r="1" spans="1:19" x14ac:dyDescent="0.25">
      <c r="A1" s="111" t="s">
        <v>24</v>
      </c>
      <c r="B1" s="111" t="s">
        <v>25</v>
      </c>
      <c r="C1" s="111" t="s">
        <v>26</v>
      </c>
      <c r="D1" s="111" t="s">
        <v>27</v>
      </c>
      <c r="E1" s="111" t="s">
        <v>28</v>
      </c>
      <c r="F1" s="111" t="s">
        <v>153</v>
      </c>
      <c r="G1" s="111" t="s">
        <v>29</v>
      </c>
      <c r="H1" s="111" t="s">
        <v>30</v>
      </c>
      <c r="I1" s="111" t="s">
        <v>666</v>
      </c>
      <c r="J1" s="111" t="s">
        <v>58</v>
      </c>
      <c r="K1" s="111" t="s">
        <v>31</v>
      </c>
      <c r="L1" s="111" t="s">
        <v>32</v>
      </c>
      <c r="M1" s="111" t="s">
        <v>33</v>
      </c>
      <c r="N1" s="111" t="s">
        <v>154</v>
      </c>
      <c r="O1" s="111" t="s">
        <v>34</v>
      </c>
      <c r="P1" s="111" t="s">
        <v>35</v>
      </c>
      <c r="Q1" s="111" t="s">
        <v>36</v>
      </c>
      <c r="R1" s="111" t="s">
        <v>37</v>
      </c>
      <c r="S1" s="113" t="s">
        <v>38</v>
      </c>
    </row>
    <row r="2" spans="1:19" x14ac:dyDescent="0.25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G2" t="s">
        <v>163</v>
      </c>
      <c r="H2" t="s">
        <v>164</v>
      </c>
      <c r="I2" t="s">
        <v>697</v>
      </c>
      <c r="J2" t="s">
        <v>165</v>
      </c>
      <c r="K2" t="s">
        <v>116</v>
      </c>
      <c r="L2">
        <v>700576839</v>
      </c>
      <c r="M2">
        <v>1.1000000000000001</v>
      </c>
      <c r="N2">
        <v>40855</v>
      </c>
      <c r="O2">
        <v>2</v>
      </c>
      <c r="P2">
        <v>20.71</v>
      </c>
      <c r="Q2">
        <v>41.42</v>
      </c>
      <c r="R2">
        <v>84189990</v>
      </c>
      <c r="S2" s="2" t="s">
        <v>664</v>
      </c>
    </row>
    <row r="3" spans="1:19" x14ac:dyDescent="0.25">
      <c r="A3" t="s">
        <v>158</v>
      </c>
      <c r="B3" t="s">
        <v>159</v>
      </c>
      <c r="C3" t="s">
        <v>160</v>
      </c>
      <c r="D3" t="s">
        <v>161</v>
      </c>
      <c r="E3" t="s">
        <v>162</v>
      </c>
      <c r="G3" t="s">
        <v>167</v>
      </c>
      <c r="H3" t="s">
        <v>168</v>
      </c>
      <c r="I3" t="s">
        <v>681</v>
      </c>
      <c r="J3" t="s">
        <v>169</v>
      </c>
      <c r="K3" t="s">
        <v>116</v>
      </c>
      <c r="L3">
        <v>700577714</v>
      </c>
      <c r="M3">
        <v>8.1</v>
      </c>
      <c r="N3">
        <v>40915</v>
      </c>
      <c r="O3">
        <v>1</v>
      </c>
      <c r="P3">
        <v>6.01</v>
      </c>
      <c r="Q3">
        <v>6.01</v>
      </c>
      <c r="R3">
        <v>84189990</v>
      </c>
      <c r="S3" s="2" t="s">
        <v>664</v>
      </c>
    </row>
    <row r="4" spans="1:19" x14ac:dyDescent="0.25">
      <c r="A4" t="s">
        <v>158</v>
      </c>
      <c r="B4" t="s">
        <v>159</v>
      </c>
      <c r="C4" t="s">
        <v>160</v>
      </c>
      <c r="D4" t="s">
        <v>161</v>
      </c>
      <c r="E4" t="s">
        <v>162</v>
      </c>
      <c r="F4" t="s">
        <v>170</v>
      </c>
      <c r="G4" t="s">
        <v>171</v>
      </c>
      <c r="H4" t="s">
        <v>172</v>
      </c>
      <c r="I4" t="s">
        <v>667</v>
      </c>
      <c r="J4" t="s">
        <v>173</v>
      </c>
      <c r="K4" t="s">
        <v>115</v>
      </c>
      <c r="L4">
        <v>700579281</v>
      </c>
      <c r="M4">
        <v>13.1</v>
      </c>
      <c r="N4">
        <v>41124</v>
      </c>
      <c r="O4">
        <v>1</v>
      </c>
      <c r="P4">
        <v>45.86</v>
      </c>
      <c r="Q4">
        <v>45.86</v>
      </c>
      <c r="R4">
        <v>84509000</v>
      </c>
      <c r="S4" s="2" t="s">
        <v>664</v>
      </c>
    </row>
    <row r="5" spans="1:19" x14ac:dyDescent="0.25">
      <c r="A5" t="s">
        <v>158</v>
      </c>
      <c r="B5" t="s">
        <v>159</v>
      </c>
      <c r="C5" t="s">
        <v>160</v>
      </c>
      <c r="D5" t="s">
        <v>161</v>
      </c>
      <c r="E5" t="s">
        <v>162</v>
      </c>
      <c r="G5" t="s">
        <v>174</v>
      </c>
      <c r="H5" t="s">
        <v>175</v>
      </c>
      <c r="I5" t="s">
        <v>687</v>
      </c>
      <c r="J5" t="s">
        <v>176</v>
      </c>
      <c r="K5" t="s">
        <v>115</v>
      </c>
      <c r="L5">
        <v>700576407</v>
      </c>
      <c r="M5">
        <v>1.2</v>
      </c>
      <c r="N5">
        <v>40790</v>
      </c>
      <c r="O5">
        <v>1</v>
      </c>
      <c r="P5">
        <v>25.4</v>
      </c>
      <c r="Q5">
        <v>25.4</v>
      </c>
      <c r="R5">
        <v>84509000</v>
      </c>
      <c r="S5" s="2" t="s">
        <v>664</v>
      </c>
    </row>
    <row r="6" spans="1:19" x14ac:dyDescent="0.25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G6" t="s">
        <v>177</v>
      </c>
      <c r="H6" t="s">
        <v>178</v>
      </c>
      <c r="I6" t="s">
        <v>698</v>
      </c>
      <c r="J6" t="s">
        <v>179</v>
      </c>
      <c r="K6" t="s">
        <v>116</v>
      </c>
      <c r="L6">
        <v>700576425</v>
      </c>
      <c r="M6">
        <v>2.1</v>
      </c>
      <c r="N6">
        <v>40808</v>
      </c>
      <c r="O6">
        <v>1</v>
      </c>
      <c r="P6">
        <v>30.59</v>
      </c>
      <c r="Q6">
        <v>30.59</v>
      </c>
      <c r="R6">
        <v>84189990</v>
      </c>
      <c r="S6" s="2" t="s">
        <v>664</v>
      </c>
    </row>
    <row r="7" spans="1:19" x14ac:dyDescent="0.25">
      <c r="A7" t="s">
        <v>158</v>
      </c>
      <c r="B7" t="s">
        <v>159</v>
      </c>
      <c r="C7" t="s">
        <v>160</v>
      </c>
      <c r="D7" t="s">
        <v>161</v>
      </c>
      <c r="E7" t="s">
        <v>162</v>
      </c>
      <c r="G7" t="s">
        <v>180</v>
      </c>
      <c r="H7" t="s">
        <v>181</v>
      </c>
      <c r="I7" t="s">
        <v>681</v>
      </c>
      <c r="J7" t="s">
        <v>182</v>
      </c>
      <c r="K7" t="s">
        <v>115</v>
      </c>
      <c r="L7">
        <v>700577720</v>
      </c>
      <c r="M7">
        <v>2.1</v>
      </c>
      <c r="N7">
        <v>40921</v>
      </c>
      <c r="O7">
        <v>2</v>
      </c>
      <c r="P7">
        <v>16.78</v>
      </c>
      <c r="Q7">
        <v>33.56</v>
      </c>
      <c r="R7">
        <v>84509000</v>
      </c>
      <c r="S7" s="2" t="s">
        <v>664</v>
      </c>
    </row>
    <row r="8" spans="1:19" x14ac:dyDescent="0.25">
      <c r="A8" t="s">
        <v>158</v>
      </c>
      <c r="B8" t="s">
        <v>159</v>
      </c>
      <c r="C8" t="s">
        <v>160</v>
      </c>
      <c r="D8" t="s">
        <v>161</v>
      </c>
      <c r="E8" t="s">
        <v>162</v>
      </c>
      <c r="F8" t="s">
        <v>183</v>
      </c>
      <c r="G8" t="s">
        <v>184</v>
      </c>
      <c r="H8" t="s">
        <v>178</v>
      </c>
      <c r="I8" t="s">
        <v>698</v>
      </c>
      <c r="J8" t="s">
        <v>185</v>
      </c>
      <c r="K8" t="s">
        <v>116</v>
      </c>
      <c r="L8">
        <v>700579291</v>
      </c>
      <c r="M8">
        <v>6.1</v>
      </c>
      <c r="N8">
        <v>41134</v>
      </c>
      <c r="O8">
        <v>1</v>
      </c>
      <c r="P8">
        <v>31.29</v>
      </c>
      <c r="Q8">
        <v>31.29</v>
      </c>
      <c r="R8">
        <v>84189990</v>
      </c>
      <c r="S8" s="2" t="s">
        <v>664</v>
      </c>
    </row>
    <row r="9" spans="1:19" x14ac:dyDescent="0.25">
      <c r="A9" t="s">
        <v>158</v>
      </c>
      <c r="B9" t="s">
        <v>159</v>
      </c>
      <c r="C9" t="s">
        <v>160</v>
      </c>
      <c r="D9" t="s">
        <v>161</v>
      </c>
      <c r="E9" t="s">
        <v>162</v>
      </c>
      <c r="G9" t="s">
        <v>187</v>
      </c>
      <c r="H9" t="s">
        <v>188</v>
      </c>
      <c r="I9" t="s">
        <v>667</v>
      </c>
      <c r="J9" t="s">
        <v>189</v>
      </c>
      <c r="K9" t="s">
        <v>120</v>
      </c>
      <c r="L9">
        <v>700580210</v>
      </c>
      <c r="M9">
        <v>1.1000000000000001</v>
      </c>
      <c r="N9">
        <v>41213</v>
      </c>
      <c r="O9">
        <v>1</v>
      </c>
      <c r="P9">
        <v>51.66</v>
      </c>
      <c r="Q9">
        <v>51.66</v>
      </c>
      <c r="R9">
        <v>85299090</v>
      </c>
      <c r="S9" s="2" t="s">
        <v>664</v>
      </c>
    </row>
    <row r="10" spans="1:19" x14ac:dyDescent="0.25">
      <c r="A10" t="s">
        <v>158</v>
      </c>
      <c r="B10" t="s">
        <v>159</v>
      </c>
      <c r="C10" t="s">
        <v>160</v>
      </c>
      <c r="D10" t="s">
        <v>161</v>
      </c>
      <c r="E10" t="s">
        <v>162</v>
      </c>
      <c r="G10" t="s">
        <v>190</v>
      </c>
      <c r="H10" t="s">
        <v>191</v>
      </c>
      <c r="I10" t="s">
        <v>717</v>
      </c>
      <c r="J10" t="s">
        <v>192</v>
      </c>
      <c r="K10" t="s">
        <v>115</v>
      </c>
      <c r="L10">
        <v>700580130</v>
      </c>
      <c r="M10">
        <v>1.1000000000000001</v>
      </c>
      <c r="N10">
        <v>41212</v>
      </c>
      <c r="O10">
        <v>2</v>
      </c>
      <c r="P10">
        <v>35.49</v>
      </c>
      <c r="Q10">
        <v>70.98</v>
      </c>
      <c r="R10">
        <v>84509000</v>
      </c>
      <c r="S10" s="2" t="s">
        <v>664</v>
      </c>
    </row>
    <row r="11" spans="1:19" x14ac:dyDescent="0.25">
      <c r="A11" t="s">
        <v>158</v>
      </c>
      <c r="B11" t="s">
        <v>159</v>
      </c>
      <c r="C11" t="s">
        <v>160</v>
      </c>
      <c r="D11" t="s">
        <v>161</v>
      </c>
      <c r="E11" t="s">
        <v>162</v>
      </c>
      <c r="G11" t="s">
        <v>167</v>
      </c>
      <c r="H11" t="s">
        <v>168</v>
      </c>
      <c r="I11" t="s">
        <v>681</v>
      </c>
      <c r="J11" t="s">
        <v>169</v>
      </c>
      <c r="K11" t="s">
        <v>116</v>
      </c>
      <c r="L11">
        <v>700579275</v>
      </c>
      <c r="M11">
        <v>10.1</v>
      </c>
      <c r="N11">
        <v>41118</v>
      </c>
      <c r="O11">
        <v>1</v>
      </c>
      <c r="P11">
        <v>6.01</v>
      </c>
      <c r="Q11">
        <v>6.01</v>
      </c>
      <c r="R11">
        <v>84189990</v>
      </c>
      <c r="S11" s="2" t="s">
        <v>664</v>
      </c>
    </row>
    <row r="12" spans="1:19" x14ac:dyDescent="0.25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G12" t="s">
        <v>193</v>
      </c>
      <c r="H12" t="s">
        <v>194</v>
      </c>
      <c r="I12" t="s">
        <v>676</v>
      </c>
      <c r="J12" t="s">
        <v>195</v>
      </c>
      <c r="K12" t="s">
        <v>116</v>
      </c>
      <c r="L12">
        <v>700580128</v>
      </c>
      <c r="M12">
        <v>1.1000000000000001</v>
      </c>
      <c r="N12">
        <v>41211</v>
      </c>
      <c r="O12">
        <v>1</v>
      </c>
      <c r="P12">
        <v>45.12</v>
      </c>
      <c r="Q12">
        <v>45.12</v>
      </c>
      <c r="R12">
        <v>84189990</v>
      </c>
      <c r="S12" s="2" t="s">
        <v>664</v>
      </c>
    </row>
    <row r="13" spans="1:19" x14ac:dyDescent="0.25">
      <c r="A13" t="s">
        <v>158</v>
      </c>
      <c r="B13" t="s">
        <v>159</v>
      </c>
      <c r="C13" t="s">
        <v>160</v>
      </c>
      <c r="D13" t="s">
        <v>161</v>
      </c>
      <c r="E13" t="s">
        <v>162</v>
      </c>
      <c r="G13" t="s">
        <v>196</v>
      </c>
      <c r="H13" t="s">
        <v>191</v>
      </c>
      <c r="I13" t="s">
        <v>717</v>
      </c>
      <c r="J13" t="s">
        <v>197</v>
      </c>
      <c r="K13" t="s">
        <v>115</v>
      </c>
      <c r="L13">
        <v>700577960</v>
      </c>
      <c r="M13">
        <v>5.2</v>
      </c>
      <c r="N13">
        <v>40971</v>
      </c>
      <c r="O13">
        <v>3</v>
      </c>
      <c r="P13">
        <v>23.61</v>
      </c>
      <c r="Q13">
        <v>70.83</v>
      </c>
      <c r="R13">
        <v>84509000</v>
      </c>
      <c r="S13" s="2" t="s">
        <v>664</v>
      </c>
    </row>
    <row r="14" spans="1:19" x14ac:dyDescent="0.25">
      <c r="A14" t="s">
        <v>158</v>
      </c>
      <c r="B14" t="s">
        <v>159</v>
      </c>
      <c r="C14" t="s">
        <v>160</v>
      </c>
      <c r="D14" t="s">
        <v>161</v>
      </c>
      <c r="E14" t="s">
        <v>162</v>
      </c>
      <c r="G14" t="s">
        <v>198</v>
      </c>
      <c r="H14" t="s">
        <v>199</v>
      </c>
      <c r="I14" t="s">
        <v>667</v>
      </c>
      <c r="J14" t="s">
        <v>200</v>
      </c>
      <c r="K14" t="s">
        <v>115</v>
      </c>
      <c r="L14">
        <v>700577520</v>
      </c>
      <c r="M14">
        <v>2.1</v>
      </c>
      <c r="N14">
        <v>40890</v>
      </c>
      <c r="O14">
        <v>1</v>
      </c>
      <c r="P14">
        <v>27.63</v>
      </c>
      <c r="Q14">
        <v>27.63</v>
      </c>
      <c r="R14">
        <v>84509000</v>
      </c>
      <c r="S14" s="2" t="s">
        <v>664</v>
      </c>
    </row>
    <row r="15" spans="1:19" x14ac:dyDescent="0.25">
      <c r="A15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201</v>
      </c>
      <c r="G15" t="s">
        <v>202</v>
      </c>
      <c r="H15" t="s">
        <v>203</v>
      </c>
      <c r="I15" t="s">
        <v>718</v>
      </c>
      <c r="J15" t="s">
        <v>204</v>
      </c>
      <c r="K15" t="s">
        <v>115</v>
      </c>
      <c r="L15">
        <v>700579317</v>
      </c>
      <c r="M15">
        <v>2.1</v>
      </c>
      <c r="N15">
        <v>41144</v>
      </c>
      <c r="O15">
        <v>1</v>
      </c>
      <c r="P15">
        <v>11.19</v>
      </c>
      <c r="Q15">
        <v>11.19</v>
      </c>
      <c r="R15">
        <v>84509000</v>
      </c>
      <c r="S15" s="2" t="s">
        <v>664</v>
      </c>
    </row>
    <row r="16" spans="1:19" x14ac:dyDescent="0.25">
      <c r="A16" t="s">
        <v>158</v>
      </c>
      <c r="B16" t="s">
        <v>159</v>
      </c>
      <c r="C16" t="s">
        <v>160</v>
      </c>
      <c r="D16" t="s">
        <v>161</v>
      </c>
      <c r="E16" t="s">
        <v>162</v>
      </c>
      <c r="F16" t="s">
        <v>201</v>
      </c>
      <c r="G16" t="s">
        <v>202</v>
      </c>
      <c r="H16" t="s">
        <v>203</v>
      </c>
      <c r="I16" t="s">
        <v>718</v>
      </c>
      <c r="J16" t="s">
        <v>204</v>
      </c>
      <c r="K16" t="s">
        <v>115</v>
      </c>
      <c r="L16">
        <v>700579904</v>
      </c>
      <c r="M16">
        <v>7.1</v>
      </c>
      <c r="N16">
        <v>41178</v>
      </c>
      <c r="O16">
        <v>3</v>
      </c>
      <c r="P16">
        <v>11.19</v>
      </c>
      <c r="Q16">
        <v>33.57</v>
      </c>
      <c r="R16">
        <v>84509000</v>
      </c>
      <c r="S16" s="2" t="s">
        <v>664</v>
      </c>
    </row>
    <row r="17" spans="1:19" x14ac:dyDescent="0.25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G17" t="s">
        <v>205</v>
      </c>
      <c r="H17" t="s">
        <v>206</v>
      </c>
      <c r="I17" t="s">
        <v>682</v>
      </c>
      <c r="J17" t="s">
        <v>207</v>
      </c>
      <c r="K17" t="s">
        <v>115</v>
      </c>
      <c r="L17">
        <v>700575881</v>
      </c>
      <c r="M17">
        <v>2.2000000000000002</v>
      </c>
      <c r="N17">
        <v>40739</v>
      </c>
      <c r="O17">
        <v>2</v>
      </c>
      <c r="P17">
        <v>28.88</v>
      </c>
      <c r="Q17">
        <v>57.76</v>
      </c>
      <c r="R17">
        <v>84509000</v>
      </c>
      <c r="S17" s="2" t="s">
        <v>664</v>
      </c>
    </row>
    <row r="18" spans="1:19" x14ac:dyDescent="0.25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G18" t="s">
        <v>208</v>
      </c>
      <c r="H18" t="s">
        <v>209</v>
      </c>
      <c r="I18" t="s">
        <v>670</v>
      </c>
      <c r="J18" t="s">
        <v>210</v>
      </c>
      <c r="K18" t="s">
        <v>115</v>
      </c>
      <c r="L18">
        <v>700579904</v>
      </c>
      <c r="M18">
        <v>2.1</v>
      </c>
      <c r="N18">
        <v>41178</v>
      </c>
      <c r="O18">
        <v>10</v>
      </c>
      <c r="P18">
        <v>12.92</v>
      </c>
      <c r="Q18">
        <v>129.19999999999999</v>
      </c>
      <c r="R18">
        <v>84509000</v>
      </c>
      <c r="S18" s="2" t="s">
        <v>664</v>
      </c>
    </row>
    <row r="19" spans="1:19" x14ac:dyDescent="0.25">
      <c r="A19" t="s">
        <v>211</v>
      </c>
      <c r="B19" t="s">
        <v>159</v>
      </c>
      <c r="C19" t="s">
        <v>160</v>
      </c>
      <c r="D19" t="s">
        <v>161</v>
      </c>
      <c r="E19" t="s">
        <v>162</v>
      </c>
      <c r="G19" t="s">
        <v>212</v>
      </c>
      <c r="H19" t="s">
        <v>213</v>
      </c>
      <c r="I19" t="s">
        <v>667</v>
      </c>
      <c r="J19" t="s">
        <v>214</v>
      </c>
      <c r="K19" t="s">
        <v>120</v>
      </c>
      <c r="L19">
        <v>700580412</v>
      </c>
      <c r="M19">
        <v>1.1000000000000001</v>
      </c>
      <c r="N19">
        <v>41224</v>
      </c>
      <c r="O19">
        <v>1</v>
      </c>
      <c r="P19">
        <v>36.32</v>
      </c>
      <c r="Q19">
        <v>36.32</v>
      </c>
      <c r="R19">
        <v>85299090</v>
      </c>
      <c r="S19" s="2" t="s">
        <v>664</v>
      </c>
    </row>
    <row r="20" spans="1:19" x14ac:dyDescent="0.25">
      <c r="A20" t="s">
        <v>211</v>
      </c>
      <c r="B20" t="s">
        <v>159</v>
      </c>
      <c r="C20" t="s">
        <v>160</v>
      </c>
      <c r="D20" t="s">
        <v>161</v>
      </c>
      <c r="E20" t="s">
        <v>162</v>
      </c>
      <c r="G20" t="s">
        <v>215</v>
      </c>
      <c r="H20" t="s">
        <v>164</v>
      </c>
      <c r="I20" t="s">
        <v>697</v>
      </c>
      <c r="J20" t="s">
        <v>216</v>
      </c>
      <c r="K20" t="s">
        <v>116</v>
      </c>
      <c r="L20">
        <v>700579275</v>
      </c>
      <c r="M20">
        <v>13.2</v>
      </c>
      <c r="N20">
        <v>41118</v>
      </c>
      <c r="O20">
        <v>1</v>
      </c>
      <c r="P20">
        <v>21.22</v>
      </c>
      <c r="Q20">
        <v>21.22</v>
      </c>
      <c r="R20">
        <v>84189990</v>
      </c>
      <c r="S20" s="2" t="s">
        <v>664</v>
      </c>
    </row>
    <row r="21" spans="1:19" x14ac:dyDescent="0.25">
      <c r="A21" t="s">
        <v>217</v>
      </c>
      <c r="B21" t="s">
        <v>159</v>
      </c>
      <c r="C21" t="s">
        <v>160</v>
      </c>
      <c r="D21" t="s">
        <v>161</v>
      </c>
      <c r="E21" t="s">
        <v>162</v>
      </c>
      <c r="F21" t="s">
        <v>218</v>
      </c>
      <c r="G21" t="s">
        <v>219</v>
      </c>
      <c r="H21" t="s">
        <v>220</v>
      </c>
      <c r="I21" t="s">
        <v>669</v>
      </c>
      <c r="J21" t="s">
        <v>221</v>
      </c>
      <c r="K21" t="s">
        <v>120</v>
      </c>
      <c r="L21">
        <v>700577518</v>
      </c>
      <c r="M21">
        <v>12.1</v>
      </c>
      <c r="N21">
        <v>40888</v>
      </c>
      <c r="O21">
        <v>2</v>
      </c>
      <c r="P21">
        <v>329.98</v>
      </c>
      <c r="Q21">
        <v>659.96</v>
      </c>
      <c r="R21">
        <v>85299090</v>
      </c>
      <c r="S21" s="2" t="s">
        <v>664</v>
      </c>
    </row>
    <row r="22" spans="1:19" x14ac:dyDescent="0.25">
      <c r="A22" t="s">
        <v>222</v>
      </c>
      <c r="B22" t="s">
        <v>159</v>
      </c>
      <c r="C22" t="s">
        <v>160</v>
      </c>
      <c r="D22" t="s">
        <v>161</v>
      </c>
      <c r="E22" t="s">
        <v>162</v>
      </c>
      <c r="F22" t="s">
        <v>223</v>
      </c>
      <c r="G22" t="s">
        <v>174</v>
      </c>
      <c r="H22" t="s">
        <v>175</v>
      </c>
      <c r="I22" t="s">
        <v>687</v>
      </c>
      <c r="J22" t="s">
        <v>176</v>
      </c>
      <c r="K22" t="s">
        <v>115</v>
      </c>
      <c r="L22">
        <v>700580420</v>
      </c>
      <c r="M22">
        <v>15.1</v>
      </c>
      <c r="N22">
        <v>41230</v>
      </c>
      <c r="O22">
        <v>1</v>
      </c>
      <c r="P22">
        <v>25.74</v>
      </c>
      <c r="Q22">
        <v>25.74</v>
      </c>
      <c r="R22">
        <v>84509000</v>
      </c>
      <c r="S22" s="2" t="s">
        <v>664</v>
      </c>
    </row>
    <row r="23" spans="1:19" x14ac:dyDescent="0.25">
      <c r="A23" t="s">
        <v>222</v>
      </c>
      <c r="B23" t="s">
        <v>159</v>
      </c>
      <c r="C23" t="s">
        <v>160</v>
      </c>
      <c r="D23" t="s">
        <v>161</v>
      </c>
      <c r="E23" t="s">
        <v>162</v>
      </c>
      <c r="G23" t="s">
        <v>224</v>
      </c>
      <c r="H23" t="s">
        <v>225</v>
      </c>
      <c r="I23" t="s">
        <v>680</v>
      </c>
      <c r="J23" t="s">
        <v>226</v>
      </c>
      <c r="K23" t="s">
        <v>116</v>
      </c>
      <c r="L23">
        <v>700580423</v>
      </c>
      <c r="M23">
        <v>3.1</v>
      </c>
      <c r="N23">
        <v>41233</v>
      </c>
      <c r="O23">
        <v>2</v>
      </c>
      <c r="P23">
        <v>8.07</v>
      </c>
      <c r="Q23">
        <v>16.14</v>
      </c>
      <c r="R23">
        <v>84189990</v>
      </c>
      <c r="S23" s="2" t="s">
        <v>664</v>
      </c>
    </row>
    <row r="24" spans="1:19" x14ac:dyDescent="0.25">
      <c r="A24" t="s">
        <v>222</v>
      </c>
      <c r="B24" t="s">
        <v>159</v>
      </c>
      <c r="C24" t="s">
        <v>160</v>
      </c>
      <c r="D24" t="s">
        <v>161</v>
      </c>
      <c r="E24" t="s">
        <v>162</v>
      </c>
      <c r="G24" t="s">
        <v>227</v>
      </c>
      <c r="H24" t="s">
        <v>228</v>
      </c>
      <c r="I24" t="s">
        <v>690</v>
      </c>
      <c r="J24" t="s">
        <v>229</v>
      </c>
      <c r="K24" t="s">
        <v>118</v>
      </c>
      <c r="L24">
        <v>700580423</v>
      </c>
      <c r="M24">
        <v>26.1</v>
      </c>
      <c r="N24">
        <v>41233</v>
      </c>
      <c r="O24">
        <v>2</v>
      </c>
      <c r="P24">
        <v>3.38</v>
      </c>
      <c r="Q24">
        <v>6.76</v>
      </c>
      <c r="R24">
        <v>85169000</v>
      </c>
      <c r="S24" s="2" t="s">
        <v>664</v>
      </c>
    </row>
    <row r="25" spans="1:19" x14ac:dyDescent="0.25">
      <c r="A25" t="s">
        <v>222</v>
      </c>
      <c r="B25" t="s">
        <v>159</v>
      </c>
      <c r="C25" t="s">
        <v>160</v>
      </c>
      <c r="D25" t="s">
        <v>161</v>
      </c>
      <c r="E25" t="s">
        <v>162</v>
      </c>
      <c r="F25" t="s">
        <v>230</v>
      </c>
      <c r="G25" t="s">
        <v>231</v>
      </c>
      <c r="H25" t="s">
        <v>232</v>
      </c>
      <c r="I25" t="s">
        <v>667</v>
      </c>
      <c r="J25" t="s">
        <v>233</v>
      </c>
      <c r="K25" t="s">
        <v>76</v>
      </c>
      <c r="L25">
        <v>700580423</v>
      </c>
      <c r="M25">
        <v>36.1</v>
      </c>
      <c r="N25">
        <v>41233</v>
      </c>
      <c r="O25">
        <v>1</v>
      </c>
      <c r="P25">
        <v>44.19</v>
      </c>
      <c r="Q25">
        <v>44.19</v>
      </c>
      <c r="R25">
        <v>84159000</v>
      </c>
      <c r="S25" s="2" t="s">
        <v>664</v>
      </c>
    </row>
    <row r="26" spans="1:19" x14ac:dyDescent="0.25">
      <c r="A26" t="s">
        <v>222</v>
      </c>
      <c r="B26" t="s">
        <v>159</v>
      </c>
      <c r="C26" t="s">
        <v>160</v>
      </c>
      <c r="D26" t="s">
        <v>161</v>
      </c>
      <c r="E26" t="s">
        <v>162</v>
      </c>
      <c r="G26" t="s">
        <v>234</v>
      </c>
      <c r="H26" t="s">
        <v>235</v>
      </c>
      <c r="I26" t="s">
        <v>699</v>
      </c>
      <c r="J26" t="s">
        <v>236</v>
      </c>
      <c r="K26" t="s">
        <v>116</v>
      </c>
      <c r="L26">
        <v>700580422</v>
      </c>
      <c r="M26">
        <v>2.1</v>
      </c>
      <c r="N26">
        <v>41232</v>
      </c>
      <c r="O26">
        <v>1</v>
      </c>
      <c r="P26">
        <v>10.64</v>
      </c>
      <c r="Q26">
        <v>10.64</v>
      </c>
      <c r="R26">
        <v>84189990</v>
      </c>
      <c r="S26" s="2" t="s">
        <v>664</v>
      </c>
    </row>
    <row r="27" spans="1:19" x14ac:dyDescent="0.25">
      <c r="A27" t="s">
        <v>222</v>
      </c>
      <c r="B27" t="s">
        <v>159</v>
      </c>
      <c r="C27" t="s">
        <v>160</v>
      </c>
      <c r="D27" t="s">
        <v>161</v>
      </c>
      <c r="E27" t="s">
        <v>162</v>
      </c>
      <c r="G27" t="s">
        <v>237</v>
      </c>
      <c r="H27" t="s">
        <v>238</v>
      </c>
      <c r="I27" t="s">
        <v>667</v>
      </c>
      <c r="J27" t="s">
        <v>239</v>
      </c>
      <c r="K27" t="s">
        <v>120</v>
      </c>
      <c r="L27">
        <v>700580423</v>
      </c>
      <c r="M27">
        <v>1.1000000000000001</v>
      </c>
      <c r="N27">
        <v>41233</v>
      </c>
      <c r="O27">
        <v>1</v>
      </c>
      <c r="P27">
        <v>61.54</v>
      </c>
      <c r="Q27">
        <v>61.54</v>
      </c>
      <c r="R27">
        <v>85299090</v>
      </c>
      <c r="S27" s="2" t="s">
        <v>664</v>
      </c>
    </row>
    <row r="28" spans="1:19" x14ac:dyDescent="0.25">
      <c r="A28" t="s">
        <v>222</v>
      </c>
      <c r="B28" t="s">
        <v>159</v>
      </c>
      <c r="C28" t="s">
        <v>160</v>
      </c>
      <c r="D28" t="s">
        <v>161</v>
      </c>
      <c r="E28" t="s">
        <v>162</v>
      </c>
      <c r="G28" t="s">
        <v>240</v>
      </c>
      <c r="H28" t="s">
        <v>241</v>
      </c>
      <c r="I28" t="s">
        <v>680</v>
      </c>
      <c r="J28" t="s">
        <v>242</v>
      </c>
      <c r="K28" t="s">
        <v>115</v>
      </c>
      <c r="L28">
        <v>700580423</v>
      </c>
      <c r="M28">
        <v>2.1</v>
      </c>
      <c r="N28">
        <v>41233</v>
      </c>
      <c r="O28">
        <v>2</v>
      </c>
      <c r="P28">
        <v>2.87</v>
      </c>
      <c r="Q28">
        <v>5.74</v>
      </c>
      <c r="R28">
        <v>84509000</v>
      </c>
      <c r="S28" s="2" t="s">
        <v>664</v>
      </c>
    </row>
    <row r="29" spans="1:19" x14ac:dyDescent="0.25">
      <c r="A29" t="s">
        <v>222</v>
      </c>
      <c r="B29" t="s">
        <v>159</v>
      </c>
      <c r="C29" t="s">
        <v>160</v>
      </c>
      <c r="D29" t="s">
        <v>161</v>
      </c>
      <c r="E29" t="s">
        <v>162</v>
      </c>
      <c r="G29" t="s">
        <v>243</v>
      </c>
      <c r="H29" t="s">
        <v>244</v>
      </c>
      <c r="I29" t="s">
        <v>719</v>
      </c>
      <c r="J29" t="s">
        <v>242</v>
      </c>
      <c r="K29" t="s">
        <v>115</v>
      </c>
      <c r="L29">
        <v>700580423</v>
      </c>
      <c r="M29">
        <v>11.1</v>
      </c>
      <c r="N29">
        <v>41233</v>
      </c>
      <c r="O29">
        <v>1</v>
      </c>
      <c r="P29">
        <v>4.08</v>
      </c>
      <c r="Q29">
        <v>4.08</v>
      </c>
      <c r="R29">
        <v>84509000</v>
      </c>
      <c r="S29" s="2" t="s">
        <v>664</v>
      </c>
    </row>
    <row r="30" spans="1:19" x14ac:dyDescent="0.25">
      <c r="A30" t="s">
        <v>222</v>
      </c>
      <c r="B30" t="s">
        <v>159</v>
      </c>
      <c r="C30" t="s">
        <v>160</v>
      </c>
      <c r="D30" t="s">
        <v>161</v>
      </c>
      <c r="E30" t="s">
        <v>162</v>
      </c>
      <c r="G30" t="s">
        <v>245</v>
      </c>
      <c r="H30" t="s">
        <v>246</v>
      </c>
      <c r="I30" t="s">
        <v>693</v>
      </c>
      <c r="J30" t="s">
        <v>247</v>
      </c>
      <c r="K30" t="s">
        <v>115</v>
      </c>
      <c r="L30">
        <v>700580423</v>
      </c>
      <c r="M30">
        <v>7.1</v>
      </c>
      <c r="N30">
        <v>41233</v>
      </c>
      <c r="O30">
        <v>2</v>
      </c>
      <c r="P30">
        <v>2.62</v>
      </c>
      <c r="Q30">
        <v>5.24</v>
      </c>
      <c r="R30">
        <v>84509000</v>
      </c>
      <c r="S30" s="2" t="s">
        <v>664</v>
      </c>
    </row>
    <row r="31" spans="1:19" x14ac:dyDescent="0.25">
      <c r="A31" t="s">
        <v>222</v>
      </c>
      <c r="B31" t="s">
        <v>159</v>
      </c>
      <c r="C31" t="s">
        <v>160</v>
      </c>
      <c r="D31" t="s">
        <v>161</v>
      </c>
      <c r="E31" t="s">
        <v>162</v>
      </c>
      <c r="G31" t="s">
        <v>248</v>
      </c>
      <c r="H31" s="2" t="s">
        <v>665</v>
      </c>
      <c r="I31" s="2" t="s">
        <v>667</v>
      </c>
      <c r="J31" t="s">
        <v>249</v>
      </c>
      <c r="K31" t="s">
        <v>120</v>
      </c>
      <c r="L31">
        <v>700580423</v>
      </c>
      <c r="M31">
        <v>9.1</v>
      </c>
      <c r="N31">
        <v>41233</v>
      </c>
      <c r="O31">
        <v>1</v>
      </c>
      <c r="P31">
        <v>11.1</v>
      </c>
      <c r="Q31">
        <v>11.1</v>
      </c>
      <c r="R31">
        <v>85299090</v>
      </c>
      <c r="S31" t="s">
        <v>393</v>
      </c>
    </row>
    <row r="32" spans="1:19" x14ac:dyDescent="0.25">
      <c r="A32" t="s">
        <v>222</v>
      </c>
      <c r="B32" t="s">
        <v>159</v>
      </c>
      <c r="C32" t="s">
        <v>160</v>
      </c>
      <c r="D32" t="s">
        <v>161</v>
      </c>
      <c r="E32" t="s">
        <v>162</v>
      </c>
      <c r="F32" t="s">
        <v>250</v>
      </c>
      <c r="G32" t="s">
        <v>248</v>
      </c>
      <c r="H32" s="2" t="s">
        <v>665</v>
      </c>
      <c r="I32" s="2" t="s">
        <v>667</v>
      </c>
      <c r="J32" t="s">
        <v>249</v>
      </c>
      <c r="K32" t="s">
        <v>120</v>
      </c>
      <c r="L32">
        <v>700580423</v>
      </c>
      <c r="M32">
        <v>37.1</v>
      </c>
      <c r="N32">
        <v>41233</v>
      </c>
      <c r="O32">
        <v>3</v>
      </c>
      <c r="P32">
        <v>11.08</v>
      </c>
      <c r="Q32">
        <v>33.24</v>
      </c>
      <c r="R32">
        <v>85299090</v>
      </c>
      <c r="S32" t="s">
        <v>393</v>
      </c>
    </row>
    <row r="33" spans="1:19" x14ac:dyDescent="0.25">
      <c r="A33" t="s">
        <v>222</v>
      </c>
      <c r="B33" t="s">
        <v>159</v>
      </c>
      <c r="C33" t="s">
        <v>160</v>
      </c>
      <c r="D33" t="s">
        <v>161</v>
      </c>
      <c r="E33" t="s">
        <v>162</v>
      </c>
      <c r="G33" t="s">
        <v>251</v>
      </c>
      <c r="H33" t="s">
        <v>252</v>
      </c>
      <c r="I33" t="s">
        <v>667</v>
      </c>
      <c r="J33" t="s">
        <v>253</v>
      </c>
      <c r="K33" t="s">
        <v>76</v>
      </c>
      <c r="L33">
        <v>700580423</v>
      </c>
      <c r="M33">
        <v>14.1</v>
      </c>
      <c r="N33">
        <v>41233</v>
      </c>
      <c r="O33">
        <v>1</v>
      </c>
      <c r="P33">
        <v>33.08</v>
      </c>
      <c r="Q33">
        <v>33.08</v>
      </c>
      <c r="R33">
        <v>84159000</v>
      </c>
      <c r="S33" s="2" t="s">
        <v>664</v>
      </c>
    </row>
    <row r="34" spans="1:19" x14ac:dyDescent="0.25">
      <c r="A34" t="s">
        <v>222</v>
      </c>
      <c r="B34" t="s">
        <v>159</v>
      </c>
      <c r="C34" t="s">
        <v>160</v>
      </c>
      <c r="D34" t="s">
        <v>161</v>
      </c>
      <c r="E34" t="s">
        <v>162</v>
      </c>
      <c r="G34" t="s">
        <v>254</v>
      </c>
      <c r="H34" t="s">
        <v>172</v>
      </c>
      <c r="I34" t="s">
        <v>667</v>
      </c>
      <c r="J34" t="s">
        <v>255</v>
      </c>
      <c r="K34" t="s">
        <v>116</v>
      </c>
      <c r="L34">
        <v>700580423</v>
      </c>
      <c r="M34">
        <v>16.100000000000001</v>
      </c>
      <c r="N34">
        <v>41233</v>
      </c>
      <c r="O34">
        <v>1</v>
      </c>
      <c r="P34">
        <v>42</v>
      </c>
      <c r="Q34">
        <v>42</v>
      </c>
      <c r="R34">
        <v>84189990</v>
      </c>
      <c r="S34" s="2" t="s">
        <v>664</v>
      </c>
    </row>
    <row r="35" spans="1:19" x14ac:dyDescent="0.25">
      <c r="A35" t="s">
        <v>222</v>
      </c>
      <c r="B35" t="s">
        <v>159</v>
      </c>
      <c r="C35" t="s">
        <v>160</v>
      </c>
      <c r="D35" t="s">
        <v>161</v>
      </c>
      <c r="E35" t="s">
        <v>162</v>
      </c>
      <c r="G35" t="s">
        <v>256</v>
      </c>
      <c r="H35" t="s">
        <v>257</v>
      </c>
      <c r="I35" t="s">
        <v>720</v>
      </c>
      <c r="J35" t="s">
        <v>258</v>
      </c>
      <c r="K35" t="s">
        <v>115</v>
      </c>
      <c r="L35">
        <v>700580423</v>
      </c>
      <c r="M35">
        <v>18.100000000000001</v>
      </c>
      <c r="N35">
        <v>41233</v>
      </c>
      <c r="O35">
        <v>2</v>
      </c>
      <c r="P35">
        <v>3.93</v>
      </c>
      <c r="Q35">
        <v>7.86</v>
      </c>
      <c r="R35">
        <v>84509000</v>
      </c>
      <c r="S35" s="2" t="s">
        <v>664</v>
      </c>
    </row>
    <row r="36" spans="1:19" x14ac:dyDescent="0.25">
      <c r="A36" t="s">
        <v>222</v>
      </c>
      <c r="B36" t="s">
        <v>159</v>
      </c>
      <c r="C36" t="s">
        <v>160</v>
      </c>
      <c r="D36" t="s">
        <v>161</v>
      </c>
      <c r="E36" t="s">
        <v>162</v>
      </c>
      <c r="G36" t="s">
        <v>259</v>
      </c>
      <c r="H36" t="s">
        <v>260</v>
      </c>
      <c r="I36" t="s">
        <v>721</v>
      </c>
      <c r="J36" t="s">
        <v>261</v>
      </c>
      <c r="K36" t="s">
        <v>115</v>
      </c>
      <c r="L36">
        <v>700580423</v>
      </c>
      <c r="M36">
        <v>19.100000000000001</v>
      </c>
      <c r="N36">
        <v>41233</v>
      </c>
      <c r="O36">
        <v>4</v>
      </c>
      <c r="P36">
        <v>9.2899999999999991</v>
      </c>
      <c r="Q36">
        <v>37.159999999999997</v>
      </c>
      <c r="R36">
        <v>84509000</v>
      </c>
      <c r="S36" t="s">
        <v>166</v>
      </c>
    </row>
    <row r="37" spans="1:19" x14ac:dyDescent="0.25">
      <c r="A37" t="s">
        <v>222</v>
      </c>
      <c r="B37" t="s">
        <v>159</v>
      </c>
      <c r="C37" t="s">
        <v>160</v>
      </c>
      <c r="D37" t="s">
        <v>161</v>
      </c>
      <c r="E37" t="s">
        <v>162</v>
      </c>
      <c r="G37" t="s">
        <v>262</v>
      </c>
      <c r="H37" t="s">
        <v>188</v>
      </c>
      <c r="I37" t="s">
        <v>667</v>
      </c>
      <c r="J37" t="s">
        <v>263</v>
      </c>
      <c r="K37" t="s">
        <v>120</v>
      </c>
      <c r="L37">
        <v>700580423</v>
      </c>
      <c r="M37">
        <v>20.100000000000001</v>
      </c>
      <c r="N37">
        <v>41233</v>
      </c>
      <c r="O37">
        <v>1</v>
      </c>
      <c r="P37">
        <v>23.76</v>
      </c>
      <c r="Q37">
        <v>23.76</v>
      </c>
      <c r="R37">
        <v>85299090</v>
      </c>
      <c r="S37" s="2" t="s">
        <v>664</v>
      </c>
    </row>
    <row r="38" spans="1:19" x14ac:dyDescent="0.25">
      <c r="A38" t="s">
        <v>222</v>
      </c>
      <c r="B38" t="s">
        <v>159</v>
      </c>
      <c r="C38" t="s">
        <v>160</v>
      </c>
      <c r="D38" t="s">
        <v>161</v>
      </c>
      <c r="E38" t="s">
        <v>162</v>
      </c>
      <c r="G38" t="s">
        <v>264</v>
      </c>
      <c r="H38" t="s">
        <v>265</v>
      </c>
      <c r="I38" t="s">
        <v>713</v>
      </c>
      <c r="J38" t="s">
        <v>266</v>
      </c>
      <c r="K38" t="s">
        <v>120</v>
      </c>
      <c r="L38">
        <v>700580423</v>
      </c>
      <c r="M38">
        <v>23.1</v>
      </c>
      <c r="N38">
        <v>41233</v>
      </c>
      <c r="O38">
        <v>2</v>
      </c>
      <c r="P38">
        <v>2.4300000000000002</v>
      </c>
      <c r="Q38">
        <v>4.8600000000000003</v>
      </c>
      <c r="R38">
        <v>85299090</v>
      </c>
      <c r="S38" s="2" t="s">
        <v>664</v>
      </c>
    </row>
    <row r="39" spans="1:19" x14ac:dyDescent="0.25">
      <c r="A39" t="s">
        <v>222</v>
      </c>
      <c r="B39" t="s">
        <v>159</v>
      </c>
      <c r="C39" t="s">
        <v>160</v>
      </c>
      <c r="D39" t="s">
        <v>161</v>
      </c>
      <c r="E39" t="s">
        <v>162</v>
      </c>
      <c r="G39" t="s">
        <v>267</v>
      </c>
      <c r="H39" t="s">
        <v>268</v>
      </c>
      <c r="I39" t="s">
        <v>700</v>
      </c>
      <c r="J39" t="s">
        <v>269</v>
      </c>
      <c r="K39" t="s">
        <v>116</v>
      </c>
      <c r="L39">
        <v>700580423</v>
      </c>
      <c r="M39">
        <v>24.1</v>
      </c>
      <c r="N39">
        <v>41233</v>
      </c>
      <c r="O39">
        <v>2</v>
      </c>
      <c r="P39">
        <v>4.3899999999999997</v>
      </c>
      <c r="Q39">
        <v>8.7799999999999994</v>
      </c>
      <c r="R39">
        <v>84189990</v>
      </c>
      <c r="S39" s="2" t="s">
        <v>664</v>
      </c>
    </row>
    <row r="40" spans="1:19" x14ac:dyDescent="0.25">
      <c r="A40" t="s">
        <v>222</v>
      </c>
      <c r="B40" t="s">
        <v>159</v>
      </c>
      <c r="C40" t="s">
        <v>160</v>
      </c>
      <c r="D40" t="s">
        <v>161</v>
      </c>
      <c r="E40" t="s">
        <v>162</v>
      </c>
      <c r="G40" t="s">
        <v>270</v>
      </c>
      <c r="H40" t="s">
        <v>271</v>
      </c>
      <c r="I40" t="s">
        <v>667</v>
      </c>
      <c r="J40" t="s">
        <v>272</v>
      </c>
      <c r="K40" t="s">
        <v>120</v>
      </c>
      <c r="L40">
        <v>700580423</v>
      </c>
      <c r="M40">
        <v>30.1</v>
      </c>
      <c r="N40">
        <v>41233</v>
      </c>
      <c r="O40">
        <v>2</v>
      </c>
      <c r="P40">
        <v>63.05</v>
      </c>
      <c r="Q40">
        <v>126.1</v>
      </c>
      <c r="R40">
        <v>85299090</v>
      </c>
      <c r="S40" s="2" t="s">
        <v>664</v>
      </c>
    </row>
    <row r="41" spans="1:19" x14ac:dyDescent="0.25">
      <c r="A41" t="s">
        <v>222</v>
      </c>
      <c r="B41" t="s">
        <v>159</v>
      </c>
      <c r="C41" t="s">
        <v>160</v>
      </c>
      <c r="D41" t="s">
        <v>161</v>
      </c>
      <c r="E41" t="s">
        <v>162</v>
      </c>
      <c r="G41" t="s">
        <v>273</v>
      </c>
      <c r="H41" t="s">
        <v>274</v>
      </c>
      <c r="I41" t="s">
        <v>681</v>
      </c>
      <c r="J41" t="s">
        <v>275</v>
      </c>
      <c r="K41" t="s">
        <v>116</v>
      </c>
      <c r="L41">
        <v>700580424</v>
      </c>
      <c r="M41">
        <v>3.1</v>
      </c>
      <c r="N41">
        <v>41234</v>
      </c>
      <c r="O41">
        <v>2</v>
      </c>
      <c r="P41">
        <v>9.52</v>
      </c>
      <c r="Q41">
        <v>19.04</v>
      </c>
      <c r="R41">
        <v>84189990</v>
      </c>
      <c r="S41" s="2" t="s">
        <v>664</v>
      </c>
    </row>
    <row r="42" spans="1:19" x14ac:dyDescent="0.25">
      <c r="A42" t="s">
        <v>222</v>
      </c>
      <c r="B42" t="s">
        <v>159</v>
      </c>
      <c r="C42" t="s">
        <v>160</v>
      </c>
      <c r="D42" t="s">
        <v>161</v>
      </c>
      <c r="E42" t="s">
        <v>162</v>
      </c>
      <c r="G42" t="s">
        <v>276</v>
      </c>
      <c r="H42" t="s">
        <v>277</v>
      </c>
      <c r="I42" t="s">
        <v>667</v>
      </c>
      <c r="J42" t="s">
        <v>278</v>
      </c>
      <c r="K42" t="s">
        <v>115</v>
      </c>
      <c r="L42">
        <v>700580424</v>
      </c>
      <c r="M42">
        <v>5.0999999999999996</v>
      </c>
      <c r="N42">
        <v>41234</v>
      </c>
      <c r="O42">
        <v>1</v>
      </c>
      <c r="P42">
        <v>31.21</v>
      </c>
      <c r="Q42">
        <v>31.21</v>
      </c>
      <c r="R42">
        <v>84509000</v>
      </c>
      <c r="S42" s="2" t="s">
        <v>664</v>
      </c>
    </row>
    <row r="43" spans="1:19" x14ac:dyDescent="0.25">
      <c r="A43" t="s">
        <v>222</v>
      </c>
      <c r="B43" t="s">
        <v>159</v>
      </c>
      <c r="C43" t="s">
        <v>160</v>
      </c>
      <c r="D43" t="s">
        <v>161</v>
      </c>
      <c r="E43" t="s">
        <v>162</v>
      </c>
      <c r="G43" t="s">
        <v>279</v>
      </c>
      <c r="H43" t="s">
        <v>280</v>
      </c>
      <c r="I43" t="s">
        <v>678</v>
      </c>
      <c r="J43" t="s">
        <v>278</v>
      </c>
      <c r="K43" t="s">
        <v>115</v>
      </c>
      <c r="L43">
        <v>700580424</v>
      </c>
      <c r="M43">
        <v>8.1</v>
      </c>
      <c r="N43">
        <v>41234</v>
      </c>
      <c r="O43">
        <v>3</v>
      </c>
      <c r="P43">
        <v>7.87</v>
      </c>
      <c r="Q43">
        <v>23.61</v>
      </c>
      <c r="R43">
        <v>84509000</v>
      </c>
      <c r="S43" s="2" t="s">
        <v>664</v>
      </c>
    </row>
    <row r="44" spans="1:19" x14ac:dyDescent="0.25">
      <c r="A44" t="s">
        <v>222</v>
      </c>
      <c r="B44" t="s">
        <v>159</v>
      </c>
      <c r="C44" t="s">
        <v>160</v>
      </c>
      <c r="D44" t="s">
        <v>161</v>
      </c>
      <c r="E44" t="s">
        <v>162</v>
      </c>
      <c r="G44" t="s">
        <v>281</v>
      </c>
      <c r="H44" t="s">
        <v>282</v>
      </c>
      <c r="I44" t="s">
        <v>691</v>
      </c>
      <c r="J44" t="s">
        <v>283</v>
      </c>
      <c r="K44" t="s">
        <v>118</v>
      </c>
      <c r="L44">
        <v>700580424</v>
      </c>
      <c r="M44">
        <v>7.1</v>
      </c>
      <c r="N44">
        <v>41234</v>
      </c>
      <c r="O44">
        <v>2</v>
      </c>
      <c r="P44">
        <v>10.45</v>
      </c>
      <c r="Q44">
        <v>20.9</v>
      </c>
      <c r="R44">
        <v>85169000</v>
      </c>
      <c r="S44" s="2" t="s">
        <v>664</v>
      </c>
    </row>
    <row r="45" spans="1:19" x14ac:dyDescent="0.25">
      <c r="A45" t="s">
        <v>222</v>
      </c>
      <c r="B45" t="s">
        <v>159</v>
      </c>
      <c r="C45" t="s">
        <v>160</v>
      </c>
      <c r="D45" t="s">
        <v>161</v>
      </c>
      <c r="E45" t="s">
        <v>162</v>
      </c>
      <c r="G45" t="s">
        <v>284</v>
      </c>
      <c r="H45" t="s">
        <v>285</v>
      </c>
      <c r="I45" t="s">
        <v>672</v>
      </c>
      <c r="J45" t="s">
        <v>286</v>
      </c>
      <c r="K45" t="s">
        <v>116</v>
      </c>
      <c r="L45">
        <v>700580425</v>
      </c>
      <c r="M45">
        <v>3.1</v>
      </c>
      <c r="N45">
        <v>41235</v>
      </c>
      <c r="O45">
        <v>2</v>
      </c>
      <c r="P45">
        <v>3.45</v>
      </c>
      <c r="Q45">
        <v>6.9</v>
      </c>
      <c r="R45">
        <v>84189990</v>
      </c>
      <c r="S45" s="2" t="s">
        <v>664</v>
      </c>
    </row>
    <row r="46" spans="1:19" x14ac:dyDescent="0.25">
      <c r="A46" t="s">
        <v>222</v>
      </c>
      <c r="B46" t="s">
        <v>159</v>
      </c>
      <c r="C46" t="s">
        <v>160</v>
      </c>
      <c r="D46" t="s">
        <v>161</v>
      </c>
      <c r="E46" t="s">
        <v>162</v>
      </c>
      <c r="G46" t="s">
        <v>287</v>
      </c>
      <c r="H46" t="s">
        <v>285</v>
      </c>
      <c r="I46" t="s">
        <v>672</v>
      </c>
      <c r="J46" t="s">
        <v>286</v>
      </c>
      <c r="K46" t="s">
        <v>116</v>
      </c>
      <c r="L46">
        <v>700580425</v>
      </c>
      <c r="M46">
        <v>4.0999999999999996</v>
      </c>
      <c r="N46">
        <v>41235</v>
      </c>
      <c r="O46">
        <v>2</v>
      </c>
      <c r="P46">
        <v>2.4</v>
      </c>
      <c r="Q46">
        <v>4.8</v>
      </c>
      <c r="R46">
        <v>84189990</v>
      </c>
      <c r="S46" s="2" t="s">
        <v>664</v>
      </c>
    </row>
    <row r="47" spans="1:19" x14ac:dyDescent="0.25">
      <c r="A47" t="s">
        <v>222</v>
      </c>
      <c r="B47" t="s">
        <v>159</v>
      </c>
      <c r="C47" t="s">
        <v>160</v>
      </c>
      <c r="D47" t="s">
        <v>161</v>
      </c>
      <c r="E47" t="s">
        <v>162</v>
      </c>
      <c r="G47" t="s">
        <v>288</v>
      </c>
      <c r="H47" t="s">
        <v>285</v>
      </c>
      <c r="I47" t="s">
        <v>672</v>
      </c>
      <c r="J47" t="s">
        <v>286</v>
      </c>
      <c r="K47" t="s">
        <v>116</v>
      </c>
      <c r="L47">
        <v>700580425</v>
      </c>
      <c r="M47">
        <v>5.0999999999999996</v>
      </c>
      <c r="N47">
        <v>41235</v>
      </c>
      <c r="O47">
        <v>3</v>
      </c>
      <c r="P47">
        <v>4.32</v>
      </c>
      <c r="Q47">
        <v>12.96</v>
      </c>
      <c r="R47">
        <v>84189990</v>
      </c>
      <c r="S47" s="2" t="s">
        <v>664</v>
      </c>
    </row>
    <row r="48" spans="1:19" x14ac:dyDescent="0.25">
      <c r="A48" t="s">
        <v>222</v>
      </c>
      <c r="B48" t="s">
        <v>159</v>
      </c>
      <c r="C48" t="s">
        <v>160</v>
      </c>
      <c r="D48" t="s">
        <v>161</v>
      </c>
      <c r="E48" t="s">
        <v>162</v>
      </c>
      <c r="G48" t="s">
        <v>289</v>
      </c>
      <c r="H48" t="s">
        <v>277</v>
      </c>
      <c r="I48" t="s">
        <v>667</v>
      </c>
      <c r="J48" t="s">
        <v>290</v>
      </c>
      <c r="K48" t="s">
        <v>116</v>
      </c>
      <c r="L48">
        <v>700580425</v>
      </c>
      <c r="M48">
        <v>10.1</v>
      </c>
      <c r="N48">
        <v>41235</v>
      </c>
      <c r="O48">
        <v>1</v>
      </c>
      <c r="P48">
        <v>4.43</v>
      </c>
      <c r="Q48">
        <v>4.43</v>
      </c>
      <c r="R48">
        <v>84189990</v>
      </c>
      <c r="S48" s="2" t="s">
        <v>664</v>
      </c>
    </row>
    <row r="49" spans="1:19" x14ac:dyDescent="0.25">
      <c r="A49" t="s">
        <v>222</v>
      </c>
      <c r="B49" t="s">
        <v>159</v>
      </c>
      <c r="C49" t="s">
        <v>160</v>
      </c>
      <c r="D49" t="s">
        <v>161</v>
      </c>
      <c r="E49" t="s">
        <v>162</v>
      </c>
      <c r="F49" t="s">
        <v>291</v>
      </c>
      <c r="G49" t="s">
        <v>292</v>
      </c>
      <c r="H49" t="s">
        <v>228</v>
      </c>
      <c r="I49" t="s">
        <v>690</v>
      </c>
      <c r="J49" t="s">
        <v>293</v>
      </c>
      <c r="K49" t="s">
        <v>118</v>
      </c>
      <c r="L49">
        <v>700580417</v>
      </c>
      <c r="M49">
        <v>4.0999999999999996</v>
      </c>
      <c r="N49">
        <v>41227</v>
      </c>
      <c r="O49">
        <v>2</v>
      </c>
      <c r="P49">
        <v>3.82</v>
      </c>
      <c r="Q49">
        <v>7.64</v>
      </c>
      <c r="R49">
        <v>85169000</v>
      </c>
      <c r="S49" s="2" t="s">
        <v>664</v>
      </c>
    </row>
    <row r="50" spans="1:19" x14ac:dyDescent="0.25">
      <c r="A50" t="s">
        <v>222</v>
      </c>
      <c r="B50" t="s">
        <v>159</v>
      </c>
      <c r="C50" t="s">
        <v>160</v>
      </c>
      <c r="D50" t="s">
        <v>161</v>
      </c>
      <c r="E50" t="s">
        <v>162</v>
      </c>
      <c r="G50" t="s">
        <v>294</v>
      </c>
      <c r="H50" t="s">
        <v>172</v>
      </c>
      <c r="I50" t="s">
        <v>667</v>
      </c>
      <c r="J50" t="s">
        <v>295</v>
      </c>
      <c r="K50" t="s">
        <v>76</v>
      </c>
      <c r="L50">
        <v>700580416</v>
      </c>
      <c r="M50">
        <v>2.1</v>
      </c>
      <c r="N50">
        <v>41226</v>
      </c>
      <c r="O50">
        <v>1</v>
      </c>
      <c r="P50">
        <v>46.48</v>
      </c>
      <c r="Q50">
        <v>46.48</v>
      </c>
      <c r="R50">
        <v>84159000</v>
      </c>
      <c r="S50" s="2" t="s">
        <v>664</v>
      </c>
    </row>
    <row r="51" spans="1:19" x14ac:dyDescent="0.25">
      <c r="A51" t="s">
        <v>222</v>
      </c>
      <c r="B51" t="s">
        <v>159</v>
      </c>
      <c r="C51" t="s">
        <v>160</v>
      </c>
      <c r="D51" t="s">
        <v>161</v>
      </c>
      <c r="E51" t="s">
        <v>162</v>
      </c>
      <c r="G51" t="s">
        <v>296</v>
      </c>
      <c r="H51" t="s">
        <v>297</v>
      </c>
      <c r="I51" t="s">
        <v>667</v>
      </c>
      <c r="J51" t="s">
        <v>298</v>
      </c>
      <c r="K51" t="s">
        <v>76</v>
      </c>
      <c r="L51">
        <v>700580416</v>
      </c>
      <c r="M51">
        <v>4.0999999999999996</v>
      </c>
      <c r="N51">
        <v>41226</v>
      </c>
      <c r="O51">
        <v>3</v>
      </c>
      <c r="P51">
        <v>1.96</v>
      </c>
      <c r="Q51">
        <v>5.88</v>
      </c>
      <c r="R51">
        <v>84159000</v>
      </c>
      <c r="S51" s="2" t="s">
        <v>664</v>
      </c>
    </row>
    <row r="52" spans="1:19" x14ac:dyDescent="0.25">
      <c r="A52" t="s">
        <v>222</v>
      </c>
      <c r="B52" t="s">
        <v>159</v>
      </c>
      <c r="C52" t="s">
        <v>160</v>
      </c>
      <c r="D52" t="s">
        <v>161</v>
      </c>
      <c r="E52" t="s">
        <v>162</v>
      </c>
      <c r="G52" t="s">
        <v>299</v>
      </c>
      <c r="H52" t="s">
        <v>297</v>
      </c>
      <c r="I52" t="s">
        <v>667</v>
      </c>
      <c r="J52" t="s">
        <v>300</v>
      </c>
      <c r="K52" t="s">
        <v>76</v>
      </c>
      <c r="L52">
        <v>700580416</v>
      </c>
      <c r="M52">
        <v>5.0999999999999996</v>
      </c>
      <c r="N52">
        <v>41226</v>
      </c>
      <c r="O52">
        <v>2</v>
      </c>
      <c r="P52">
        <v>1.85</v>
      </c>
      <c r="Q52">
        <v>3.7</v>
      </c>
      <c r="R52">
        <v>84159000</v>
      </c>
      <c r="S52" s="2" t="s">
        <v>664</v>
      </c>
    </row>
    <row r="53" spans="1:19" x14ac:dyDescent="0.25">
      <c r="A53" t="s">
        <v>222</v>
      </c>
      <c r="B53" t="s">
        <v>159</v>
      </c>
      <c r="C53" t="s">
        <v>160</v>
      </c>
      <c r="D53" t="s">
        <v>161</v>
      </c>
      <c r="E53" t="s">
        <v>162</v>
      </c>
      <c r="G53" t="s">
        <v>301</v>
      </c>
      <c r="H53" t="s">
        <v>302</v>
      </c>
      <c r="I53" t="s">
        <v>683</v>
      </c>
      <c r="J53" t="s">
        <v>300</v>
      </c>
      <c r="K53" t="s">
        <v>76</v>
      </c>
      <c r="L53">
        <v>700580416</v>
      </c>
      <c r="M53">
        <v>8.1</v>
      </c>
      <c r="N53">
        <v>41226</v>
      </c>
      <c r="O53">
        <v>3</v>
      </c>
      <c r="P53">
        <v>38.979999999999997</v>
      </c>
      <c r="Q53">
        <v>116.94</v>
      </c>
      <c r="R53">
        <v>84159000</v>
      </c>
      <c r="S53" s="2" t="s">
        <v>664</v>
      </c>
    </row>
    <row r="54" spans="1:19" x14ac:dyDescent="0.25">
      <c r="A54" t="s">
        <v>222</v>
      </c>
      <c r="B54" t="s">
        <v>159</v>
      </c>
      <c r="C54" t="s">
        <v>160</v>
      </c>
      <c r="D54" t="s">
        <v>161</v>
      </c>
      <c r="E54" t="s">
        <v>162</v>
      </c>
      <c r="G54" t="s">
        <v>303</v>
      </c>
      <c r="H54" t="s">
        <v>172</v>
      </c>
      <c r="I54" t="s">
        <v>667</v>
      </c>
      <c r="J54" t="s">
        <v>304</v>
      </c>
      <c r="K54" t="s">
        <v>115</v>
      </c>
      <c r="L54">
        <v>700580430</v>
      </c>
      <c r="M54">
        <v>10.1</v>
      </c>
      <c r="N54">
        <v>41240</v>
      </c>
      <c r="O54">
        <v>2</v>
      </c>
      <c r="P54">
        <v>37.409999999999997</v>
      </c>
      <c r="Q54">
        <v>74.819999999999993</v>
      </c>
      <c r="R54">
        <v>84509000</v>
      </c>
      <c r="S54" s="2" t="s">
        <v>664</v>
      </c>
    </row>
    <row r="55" spans="1:19" x14ac:dyDescent="0.25">
      <c r="A55" t="s">
        <v>222</v>
      </c>
      <c r="B55" t="s">
        <v>159</v>
      </c>
      <c r="C55" t="s">
        <v>160</v>
      </c>
      <c r="D55" t="s">
        <v>161</v>
      </c>
      <c r="E55" t="s">
        <v>162</v>
      </c>
      <c r="G55" t="s">
        <v>305</v>
      </c>
      <c r="H55" t="s">
        <v>306</v>
      </c>
      <c r="I55" t="s">
        <v>722</v>
      </c>
      <c r="J55" t="s">
        <v>307</v>
      </c>
      <c r="K55" t="s">
        <v>115</v>
      </c>
      <c r="L55">
        <v>700580422</v>
      </c>
      <c r="M55">
        <v>8.1</v>
      </c>
      <c r="N55">
        <v>41232</v>
      </c>
      <c r="O55">
        <v>2</v>
      </c>
      <c r="P55">
        <v>2.23</v>
      </c>
      <c r="Q55">
        <v>4.46</v>
      </c>
      <c r="R55">
        <v>84509000</v>
      </c>
      <c r="S55" s="2" t="s">
        <v>664</v>
      </c>
    </row>
    <row r="56" spans="1:19" x14ac:dyDescent="0.25">
      <c r="A56" t="s">
        <v>222</v>
      </c>
      <c r="B56" t="s">
        <v>159</v>
      </c>
      <c r="C56" t="s">
        <v>160</v>
      </c>
      <c r="D56" t="s">
        <v>161</v>
      </c>
      <c r="E56" t="s">
        <v>162</v>
      </c>
      <c r="G56" t="s">
        <v>308</v>
      </c>
      <c r="H56" t="s">
        <v>309</v>
      </c>
      <c r="I56" t="s">
        <v>687</v>
      </c>
      <c r="J56" t="s">
        <v>195</v>
      </c>
      <c r="K56" t="s">
        <v>116</v>
      </c>
      <c r="L56">
        <v>700580422</v>
      </c>
      <c r="M56">
        <v>12.1</v>
      </c>
      <c r="N56">
        <v>41232</v>
      </c>
      <c r="O56">
        <v>2</v>
      </c>
      <c r="P56">
        <v>1.69</v>
      </c>
      <c r="Q56">
        <v>3.38</v>
      </c>
      <c r="R56">
        <v>84189990</v>
      </c>
      <c r="S56" s="2" t="s">
        <v>664</v>
      </c>
    </row>
    <row r="57" spans="1:19" x14ac:dyDescent="0.25">
      <c r="A57" t="s">
        <v>222</v>
      </c>
      <c r="B57" t="s">
        <v>159</v>
      </c>
      <c r="C57" t="s">
        <v>160</v>
      </c>
      <c r="D57" t="s">
        <v>161</v>
      </c>
      <c r="E57" t="s">
        <v>162</v>
      </c>
      <c r="F57" t="s">
        <v>310</v>
      </c>
      <c r="G57" t="s">
        <v>311</v>
      </c>
      <c r="H57" t="s">
        <v>312</v>
      </c>
      <c r="I57" t="s">
        <v>685</v>
      </c>
      <c r="J57" t="s">
        <v>313</v>
      </c>
      <c r="K57" t="s">
        <v>115</v>
      </c>
      <c r="L57">
        <v>700580432</v>
      </c>
      <c r="M57">
        <v>3.1</v>
      </c>
      <c r="N57">
        <v>41242</v>
      </c>
      <c r="O57">
        <v>4</v>
      </c>
      <c r="P57">
        <v>4.58</v>
      </c>
      <c r="Q57">
        <v>18.32</v>
      </c>
      <c r="R57">
        <v>84509000</v>
      </c>
      <c r="S57" s="2" t="s">
        <v>664</v>
      </c>
    </row>
    <row r="58" spans="1:19" x14ac:dyDescent="0.25">
      <c r="A58" t="s">
        <v>222</v>
      </c>
      <c r="B58" t="s">
        <v>159</v>
      </c>
      <c r="C58" t="s">
        <v>160</v>
      </c>
      <c r="D58" t="s">
        <v>161</v>
      </c>
      <c r="E58" t="s">
        <v>162</v>
      </c>
      <c r="G58" t="s">
        <v>314</v>
      </c>
      <c r="H58" t="s">
        <v>315</v>
      </c>
      <c r="I58" t="s">
        <v>685</v>
      </c>
      <c r="J58" t="s">
        <v>316</v>
      </c>
      <c r="K58" t="s">
        <v>115</v>
      </c>
      <c r="L58">
        <v>700580433</v>
      </c>
      <c r="M58">
        <v>10.1</v>
      </c>
      <c r="N58">
        <v>41243</v>
      </c>
      <c r="O58">
        <v>4</v>
      </c>
      <c r="P58">
        <v>9.01</v>
      </c>
      <c r="Q58">
        <v>36.04</v>
      </c>
      <c r="R58">
        <v>84509000</v>
      </c>
      <c r="S58" s="2" t="s">
        <v>664</v>
      </c>
    </row>
    <row r="59" spans="1:19" x14ac:dyDescent="0.25">
      <c r="A59" t="s">
        <v>222</v>
      </c>
      <c r="B59" t="s">
        <v>159</v>
      </c>
      <c r="C59" t="s">
        <v>160</v>
      </c>
      <c r="D59" t="s">
        <v>161</v>
      </c>
      <c r="E59" t="s">
        <v>162</v>
      </c>
      <c r="G59" t="s">
        <v>317</v>
      </c>
      <c r="H59" t="s">
        <v>318</v>
      </c>
      <c r="I59" t="s">
        <v>723</v>
      </c>
      <c r="J59" t="s">
        <v>319</v>
      </c>
      <c r="K59" t="s">
        <v>115</v>
      </c>
      <c r="L59">
        <v>700580434</v>
      </c>
      <c r="M59">
        <v>4.0999999999999996</v>
      </c>
      <c r="N59">
        <v>41244</v>
      </c>
      <c r="O59">
        <v>1</v>
      </c>
      <c r="P59">
        <v>23.12</v>
      </c>
      <c r="Q59">
        <v>23.12</v>
      </c>
      <c r="R59">
        <v>84509000</v>
      </c>
      <c r="S59" s="2" t="s">
        <v>664</v>
      </c>
    </row>
    <row r="60" spans="1:19" x14ac:dyDescent="0.25">
      <c r="A60" t="s">
        <v>222</v>
      </c>
      <c r="B60" t="s">
        <v>159</v>
      </c>
      <c r="C60" t="s">
        <v>160</v>
      </c>
      <c r="D60" t="s">
        <v>161</v>
      </c>
      <c r="E60" t="s">
        <v>162</v>
      </c>
      <c r="G60" t="s">
        <v>320</v>
      </c>
      <c r="H60" t="s">
        <v>321</v>
      </c>
      <c r="I60" t="s">
        <v>707</v>
      </c>
      <c r="J60" t="s">
        <v>322</v>
      </c>
      <c r="K60" t="s">
        <v>118</v>
      </c>
      <c r="L60">
        <v>700580416</v>
      </c>
      <c r="M60">
        <v>11.1</v>
      </c>
      <c r="N60">
        <v>41226</v>
      </c>
      <c r="O60">
        <v>2</v>
      </c>
      <c r="P60">
        <v>23.89</v>
      </c>
      <c r="Q60">
        <v>47.78</v>
      </c>
      <c r="R60">
        <v>85169000</v>
      </c>
      <c r="S60" t="s">
        <v>663</v>
      </c>
    </row>
    <row r="61" spans="1:19" x14ac:dyDescent="0.25">
      <c r="A61" t="s">
        <v>222</v>
      </c>
      <c r="B61" t="s">
        <v>159</v>
      </c>
      <c r="C61" t="s">
        <v>160</v>
      </c>
      <c r="D61" t="s">
        <v>161</v>
      </c>
      <c r="E61" t="s">
        <v>162</v>
      </c>
      <c r="G61" t="s">
        <v>323</v>
      </c>
      <c r="H61" t="s">
        <v>324</v>
      </c>
      <c r="I61" t="s">
        <v>668</v>
      </c>
      <c r="J61" t="s">
        <v>325</v>
      </c>
      <c r="K61" t="s">
        <v>121</v>
      </c>
      <c r="L61">
        <v>700580421</v>
      </c>
      <c r="M61">
        <v>6.1</v>
      </c>
      <c r="N61">
        <v>41231</v>
      </c>
      <c r="O61">
        <v>1</v>
      </c>
      <c r="P61">
        <v>18.510000000000002</v>
      </c>
      <c r="Q61">
        <v>18.510000000000002</v>
      </c>
      <c r="R61">
        <v>85087000</v>
      </c>
      <c r="S61" t="s">
        <v>166</v>
      </c>
    </row>
    <row r="62" spans="1:19" x14ac:dyDescent="0.25">
      <c r="A62" t="s">
        <v>222</v>
      </c>
      <c r="B62" t="s">
        <v>159</v>
      </c>
      <c r="C62" t="s">
        <v>160</v>
      </c>
      <c r="D62" t="s">
        <v>161</v>
      </c>
      <c r="E62" t="s">
        <v>162</v>
      </c>
      <c r="G62" t="s">
        <v>326</v>
      </c>
      <c r="H62" t="s">
        <v>327</v>
      </c>
      <c r="I62" t="s">
        <v>667</v>
      </c>
      <c r="J62" t="s">
        <v>328</v>
      </c>
      <c r="K62" t="s">
        <v>120</v>
      </c>
      <c r="L62">
        <v>700580424</v>
      </c>
      <c r="M62">
        <v>1.1000000000000001</v>
      </c>
      <c r="N62">
        <v>41234</v>
      </c>
      <c r="O62">
        <v>2</v>
      </c>
      <c r="P62">
        <v>51.78</v>
      </c>
      <c r="Q62">
        <v>103.56</v>
      </c>
      <c r="R62">
        <v>85299090</v>
      </c>
      <c r="S62" s="2" t="s">
        <v>664</v>
      </c>
    </row>
    <row r="63" spans="1:19" x14ac:dyDescent="0.25">
      <c r="A63" t="s">
        <v>222</v>
      </c>
      <c r="B63" t="s">
        <v>159</v>
      </c>
      <c r="C63" t="s">
        <v>160</v>
      </c>
      <c r="D63" t="s">
        <v>161</v>
      </c>
      <c r="E63" t="s">
        <v>162</v>
      </c>
      <c r="G63" t="s">
        <v>329</v>
      </c>
      <c r="H63" t="s">
        <v>330</v>
      </c>
      <c r="I63" t="s">
        <v>701</v>
      </c>
      <c r="J63" t="s">
        <v>331</v>
      </c>
      <c r="K63" t="s">
        <v>116</v>
      </c>
      <c r="L63">
        <v>700580421</v>
      </c>
      <c r="M63">
        <v>5.0999999999999996</v>
      </c>
      <c r="N63">
        <v>41231</v>
      </c>
      <c r="O63">
        <v>1</v>
      </c>
      <c r="P63">
        <v>11.5</v>
      </c>
      <c r="Q63">
        <v>11.5</v>
      </c>
      <c r="R63">
        <v>84189990</v>
      </c>
      <c r="S63" s="2" t="s">
        <v>664</v>
      </c>
    </row>
    <row r="64" spans="1:19" x14ac:dyDescent="0.25">
      <c r="A64" t="s">
        <v>222</v>
      </c>
      <c r="B64" t="s">
        <v>159</v>
      </c>
      <c r="C64" t="s">
        <v>160</v>
      </c>
      <c r="D64" t="s">
        <v>161</v>
      </c>
      <c r="E64" t="s">
        <v>162</v>
      </c>
      <c r="G64" t="s">
        <v>332</v>
      </c>
      <c r="H64" t="s">
        <v>333</v>
      </c>
      <c r="I64" t="s">
        <v>680</v>
      </c>
      <c r="J64" t="s">
        <v>334</v>
      </c>
      <c r="K64" t="s">
        <v>115</v>
      </c>
      <c r="L64">
        <v>700580421</v>
      </c>
      <c r="M64">
        <v>7.1</v>
      </c>
      <c r="N64">
        <v>41231</v>
      </c>
      <c r="O64">
        <v>1</v>
      </c>
      <c r="P64">
        <v>2.46</v>
      </c>
      <c r="Q64">
        <v>2.46</v>
      </c>
      <c r="R64">
        <v>84509000</v>
      </c>
      <c r="S64" s="2" t="s">
        <v>664</v>
      </c>
    </row>
    <row r="65" spans="1:19" x14ac:dyDescent="0.25">
      <c r="A65" t="s">
        <v>222</v>
      </c>
      <c r="B65" t="s">
        <v>159</v>
      </c>
      <c r="C65" t="s">
        <v>160</v>
      </c>
      <c r="D65" t="s">
        <v>161</v>
      </c>
      <c r="E65" t="s">
        <v>162</v>
      </c>
      <c r="G65" t="s">
        <v>335</v>
      </c>
      <c r="H65" t="s">
        <v>178</v>
      </c>
      <c r="I65" t="s">
        <v>698</v>
      </c>
      <c r="J65" t="s">
        <v>331</v>
      </c>
      <c r="K65" t="s">
        <v>116</v>
      </c>
      <c r="L65">
        <v>700580421</v>
      </c>
      <c r="M65">
        <v>3.1</v>
      </c>
      <c r="N65">
        <v>41231</v>
      </c>
      <c r="O65">
        <v>2</v>
      </c>
      <c r="P65">
        <v>25.96</v>
      </c>
      <c r="Q65">
        <v>51.92</v>
      </c>
      <c r="R65">
        <v>84189990</v>
      </c>
      <c r="S65" s="2" t="s">
        <v>664</v>
      </c>
    </row>
    <row r="66" spans="1:19" x14ac:dyDescent="0.25">
      <c r="A66" t="s">
        <v>222</v>
      </c>
      <c r="B66" t="s">
        <v>159</v>
      </c>
      <c r="C66" t="s">
        <v>160</v>
      </c>
      <c r="D66" t="s">
        <v>161</v>
      </c>
      <c r="E66" t="s">
        <v>162</v>
      </c>
      <c r="G66" t="s">
        <v>336</v>
      </c>
      <c r="H66" t="s">
        <v>337</v>
      </c>
      <c r="I66" t="s">
        <v>696</v>
      </c>
      <c r="J66" t="s">
        <v>286</v>
      </c>
      <c r="K66" t="s">
        <v>116</v>
      </c>
      <c r="L66">
        <v>700580425</v>
      </c>
      <c r="M66">
        <v>6.1</v>
      </c>
      <c r="N66">
        <v>41235</v>
      </c>
      <c r="O66">
        <v>2</v>
      </c>
      <c r="P66">
        <v>2.73</v>
      </c>
      <c r="Q66">
        <v>5.46</v>
      </c>
      <c r="R66">
        <v>84189990</v>
      </c>
      <c r="S66" s="2" t="s">
        <v>664</v>
      </c>
    </row>
    <row r="67" spans="1:19" x14ac:dyDescent="0.25">
      <c r="A67" t="s">
        <v>222</v>
      </c>
      <c r="B67" t="s">
        <v>159</v>
      </c>
      <c r="C67" t="s">
        <v>160</v>
      </c>
      <c r="D67" t="s">
        <v>161</v>
      </c>
      <c r="E67" t="s">
        <v>162</v>
      </c>
      <c r="G67" t="s">
        <v>338</v>
      </c>
      <c r="H67" t="s">
        <v>65</v>
      </c>
      <c r="I67" t="s">
        <v>677</v>
      </c>
      <c r="J67" t="s">
        <v>339</v>
      </c>
      <c r="K67" t="s">
        <v>76</v>
      </c>
      <c r="L67">
        <v>700580416</v>
      </c>
      <c r="M67">
        <v>9.1</v>
      </c>
      <c r="N67">
        <v>41226</v>
      </c>
      <c r="O67">
        <v>3</v>
      </c>
      <c r="P67">
        <v>27.73</v>
      </c>
      <c r="Q67">
        <v>83.19</v>
      </c>
      <c r="R67">
        <v>84159000</v>
      </c>
      <c r="S67" s="2" t="s">
        <v>664</v>
      </c>
    </row>
    <row r="68" spans="1:19" x14ac:dyDescent="0.25">
      <c r="A68" t="s">
        <v>222</v>
      </c>
      <c r="B68" t="s">
        <v>159</v>
      </c>
      <c r="C68" t="s">
        <v>160</v>
      </c>
      <c r="D68" t="s">
        <v>161</v>
      </c>
      <c r="E68" t="s">
        <v>162</v>
      </c>
      <c r="G68" t="s">
        <v>340</v>
      </c>
      <c r="H68" t="s">
        <v>235</v>
      </c>
      <c r="I68" t="s">
        <v>702</v>
      </c>
      <c r="J68" t="s">
        <v>341</v>
      </c>
      <c r="K68" t="s">
        <v>116</v>
      </c>
      <c r="L68">
        <v>700580440</v>
      </c>
      <c r="M68">
        <v>22.1</v>
      </c>
      <c r="N68">
        <v>41250</v>
      </c>
      <c r="O68">
        <v>1</v>
      </c>
      <c r="P68">
        <v>2.4700000000000002</v>
      </c>
      <c r="Q68">
        <v>2.4700000000000002</v>
      </c>
      <c r="R68">
        <v>84189990</v>
      </c>
      <c r="S68" s="2" t="s">
        <v>664</v>
      </c>
    </row>
    <row r="69" spans="1:19" x14ac:dyDescent="0.25">
      <c r="A69" t="s">
        <v>222</v>
      </c>
      <c r="B69" t="s">
        <v>159</v>
      </c>
      <c r="C69" t="s">
        <v>160</v>
      </c>
      <c r="D69" t="s">
        <v>161</v>
      </c>
      <c r="E69" t="s">
        <v>162</v>
      </c>
      <c r="G69" t="s">
        <v>342</v>
      </c>
      <c r="H69" t="s">
        <v>280</v>
      </c>
      <c r="I69" t="s">
        <v>678</v>
      </c>
      <c r="J69" t="s">
        <v>343</v>
      </c>
      <c r="K69" t="s">
        <v>115</v>
      </c>
      <c r="L69">
        <v>700580430</v>
      </c>
      <c r="M69">
        <v>3.1</v>
      </c>
      <c r="N69">
        <v>41240</v>
      </c>
      <c r="O69">
        <v>3</v>
      </c>
      <c r="P69">
        <v>12.67</v>
      </c>
      <c r="Q69">
        <v>38.01</v>
      </c>
      <c r="R69">
        <v>84509000</v>
      </c>
      <c r="S69" s="2" t="s">
        <v>664</v>
      </c>
    </row>
    <row r="70" spans="1:19" x14ac:dyDescent="0.25">
      <c r="A70" t="s">
        <v>222</v>
      </c>
      <c r="B70" t="s">
        <v>159</v>
      </c>
      <c r="C70" t="s">
        <v>160</v>
      </c>
      <c r="D70" t="s">
        <v>161</v>
      </c>
      <c r="E70" t="s">
        <v>162</v>
      </c>
      <c r="G70" t="s">
        <v>344</v>
      </c>
      <c r="H70" t="s">
        <v>238</v>
      </c>
      <c r="I70" t="s">
        <v>667</v>
      </c>
      <c r="J70" t="s">
        <v>345</v>
      </c>
      <c r="K70" t="s">
        <v>120</v>
      </c>
      <c r="L70">
        <v>700580422</v>
      </c>
      <c r="M70">
        <v>1.1000000000000001</v>
      </c>
      <c r="N70">
        <v>41232</v>
      </c>
      <c r="O70">
        <v>1</v>
      </c>
      <c r="P70">
        <v>47.33</v>
      </c>
      <c r="Q70">
        <v>47.33</v>
      </c>
      <c r="R70">
        <v>85299090</v>
      </c>
      <c r="S70" s="2" t="s">
        <v>664</v>
      </c>
    </row>
    <row r="71" spans="1:19" x14ac:dyDescent="0.25">
      <c r="A71" t="s">
        <v>222</v>
      </c>
      <c r="B71" t="s">
        <v>159</v>
      </c>
      <c r="C71" t="s">
        <v>160</v>
      </c>
      <c r="D71" t="s">
        <v>161</v>
      </c>
      <c r="E71" t="s">
        <v>162</v>
      </c>
      <c r="G71" t="s">
        <v>346</v>
      </c>
      <c r="H71" t="s">
        <v>172</v>
      </c>
      <c r="I71" t="s">
        <v>667</v>
      </c>
      <c r="J71" t="s">
        <v>347</v>
      </c>
      <c r="K71" t="s">
        <v>76</v>
      </c>
      <c r="L71">
        <v>700580422</v>
      </c>
      <c r="M71">
        <v>3.1</v>
      </c>
      <c r="N71">
        <v>41232</v>
      </c>
      <c r="O71">
        <v>2</v>
      </c>
      <c r="P71">
        <v>24.9</v>
      </c>
      <c r="Q71">
        <v>49.8</v>
      </c>
      <c r="R71">
        <v>84159000</v>
      </c>
      <c r="S71" s="2" t="s">
        <v>664</v>
      </c>
    </row>
    <row r="72" spans="1:19" x14ac:dyDescent="0.25">
      <c r="A72" t="s">
        <v>222</v>
      </c>
      <c r="B72" t="s">
        <v>159</v>
      </c>
      <c r="C72" t="s">
        <v>160</v>
      </c>
      <c r="D72" t="s">
        <v>161</v>
      </c>
      <c r="E72" t="s">
        <v>162</v>
      </c>
      <c r="G72" t="s">
        <v>348</v>
      </c>
      <c r="H72" t="s">
        <v>349</v>
      </c>
      <c r="I72" t="s">
        <v>700</v>
      </c>
      <c r="J72" t="s">
        <v>350</v>
      </c>
      <c r="K72" t="s">
        <v>116</v>
      </c>
      <c r="L72">
        <v>700580422</v>
      </c>
      <c r="M72">
        <v>4.0999999999999996</v>
      </c>
      <c r="N72">
        <v>41232</v>
      </c>
      <c r="O72">
        <v>1</v>
      </c>
      <c r="P72">
        <v>10.31</v>
      </c>
      <c r="Q72">
        <v>10.31</v>
      </c>
      <c r="R72">
        <v>84189990</v>
      </c>
      <c r="S72" s="2" t="s">
        <v>664</v>
      </c>
    </row>
    <row r="73" spans="1:19" x14ac:dyDescent="0.25">
      <c r="A73" t="s">
        <v>222</v>
      </c>
      <c r="B73" t="s">
        <v>159</v>
      </c>
      <c r="C73" t="s">
        <v>160</v>
      </c>
      <c r="D73" t="s">
        <v>161</v>
      </c>
      <c r="E73" t="s">
        <v>162</v>
      </c>
      <c r="G73" t="s">
        <v>351</v>
      </c>
      <c r="H73" t="s">
        <v>352</v>
      </c>
      <c r="I73" t="s">
        <v>703</v>
      </c>
      <c r="J73" t="s">
        <v>290</v>
      </c>
      <c r="K73" t="s">
        <v>116</v>
      </c>
      <c r="L73">
        <v>700580425</v>
      </c>
      <c r="M73">
        <v>7.1</v>
      </c>
      <c r="N73">
        <v>41235</v>
      </c>
      <c r="O73">
        <v>1</v>
      </c>
      <c r="P73">
        <v>3.27</v>
      </c>
      <c r="Q73">
        <v>3.27</v>
      </c>
      <c r="R73">
        <v>84189990</v>
      </c>
      <c r="S73" s="2" t="s">
        <v>664</v>
      </c>
    </row>
    <row r="74" spans="1:19" x14ac:dyDescent="0.25">
      <c r="A74" t="s">
        <v>222</v>
      </c>
      <c r="B74" t="s">
        <v>159</v>
      </c>
      <c r="C74" t="s">
        <v>160</v>
      </c>
      <c r="D74" t="s">
        <v>161</v>
      </c>
      <c r="E74" t="s">
        <v>162</v>
      </c>
      <c r="G74" t="s">
        <v>353</v>
      </c>
      <c r="H74" t="s">
        <v>297</v>
      </c>
      <c r="I74" t="s">
        <v>667</v>
      </c>
      <c r="J74" t="s">
        <v>354</v>
      </c>
      <c r="K74" t="s">
        <v>76</v>
      </c>
      <c r="L74">
        <v>700580416</v>
      </c>
      <c r="M74">
        <v>3.1</v>
      </c>
      <c r="N74">
        <v>41226</v>
      </c>
      <c r="O74">
        <v>1</v>
      </c>
      <c r="P74">
        <v>1.74</v>
      </c>
      <c r="Q74">
        <v>1.74</v>
      </c>
      <c r="R74">
        <v>84159000</v>
      </c>
      <c r="S74" s="2" t="s">
        <v>664</v>
      </c>
    </row>
    <row r="75" spans="1:19" x14ac:dyDescent="0.25">
      <c r="A75" t="s">
        <v>222</v>
      </c>
      <c r="B75" t="s">
        <v>159</v>
      </c>
      <c r="C75" t="s">
        <v>160</v>
      </c>
      <c r="D75" t="s">
        <v>161</v>
      </c>
      <c r="E75" t="s">
        <v>162</v>
      </c>
      <c r="G75" t="s">
        <v>355</v>
      </c>
      <c r="H75" t="s">
        <v>172</v>
      </c>
      <c r="I75" t="s">
        <v>667</v>
      </c>
      <c r="J75" t="s">
        <v>356</v>
      </c>
      <c r="K75" t="s">
        <v>76</v>
      </c>
      <c r="L75">
        <v>700580416</v>
      </c>
      <c r="M75">
        <v>16.100000000000001</v>
      </c>
      <c r="N75">
        <v>41226</v>
      </c>
      <c r="O75">
        <v>1</v>
      </c>
      <c r="P75">
        <v>26.61</v>
      </c>
      <c r="Q75">
        <v>26.61</v>
      </c>
      <c r="R75">
        <v>84159000</v>
      </c>
      <c r="S75" s="2" t="s">
        <v>664</v>
      </c>
    </row>
    <row r="76" spans="1:19" x14ac:dyDescent="0.25">
      <c r="A76" t="s">
        <v>222</v>
      </c>
      <c r="B76" t="s">
        <v>159</v>
      </c>
      <c r="C76" t="s">
        <v>160</v>
      </c>
      <c r="D76" t="s">
        <v>161</v>
      </c>
      <c r="E76" t="s">
        <v>162</v>
      </c>
      <c r="G76" t="s">
        <v>357</v>
      </c>
      <c r="H76" t="s">
        <v>228</v>
      </c>
      <c r="I76" t="s">
        <v>690</v>
      </c>
      <c r="J76" t="s">
        <v>358</v>
      </c>
      <c r="K76" t="s">
        <v>118</v>
      </c>
      <c r="L76">
        <v>700580417</v>
      </c>
      <c r="M76">
        <v>2.1</v>
      </c>
      <c r="N76">
        <v>41227</v>
      </c>
      <c r="O76">
        <v>1</v>
      </c>
      <c r="P76">
        <v>9.2200000000000006</v>
      </c>
      <c r="Q76">
        <v>9.2200000000000006</v>
      </c>
      <c r="R76">
        <v>85169000</v>
      </c>
      <c r="S76" s="2" t="s">
        <v>664</v>
      </c>
    </row>
    <row r="77" spans="1:19" x14ac:dyDescent="0.25">
      <c r="A77" t="s">
        <v>222</v>
      </c>
      <c r="B77" t="s">
        <v>159</v>
      </c>
      <c r="C77" t="s">
        <v>160</v>
      </c>
      <c r="D77" t="s">
        <v>161</v>
      </c>
      <c r="E77" t="s">
        <v>162</v>
      </c>
      <c r="G77" t="s">
        <v>359</v>
      </c>
      <c r="H77" t="s">
        <v>178</v>
      </c>
      <c r="I77" t="s">
        <v>698</v>
      </c>
      <c r="J77" t="s">
        <v>360</v>
      </c>
      <c r="K77" t="s">
        <v>116</v>
      </c>
      <c r="L77">
        <v>700580418</v>
      </c>
      <c r="M77">
        <v>1.1000000000000001</v>
      </c>
      <c r="N77">
        <v>41228</v>
      </c>
      <c r="O77">
        <v>1</v>
      </c>
      <c r="P77">
        <v>11.14</v>
      </c>
      <c r="Q77">
        <v>11.14</v>
      </c>
      <c r="R77">
        <v>84189990</v>
      </c>
      <c r="S77" s="2" t="s">
        <v>664</v>
      </c>
    </row>
    <row r="78" spans="1:19" x14ac:dyDescent="0.25">
      <c r="A78" t="s">
        <v>222</v>
      </c>
      <c r="B78" t="s">
        <v>159</v>
      </c>
      <c r="C78" t="s">
        <v>160</v>
      </c>
      <c r="D78" t="s">
        <v>161</v>
      </c>
      <c r="E78" t="s">
        <v>162</v>
      </c>
      <c r="G78" t="s">
        <v>208</v>
      </c>
      <c r="H78" t="s">
        <v>209</v>
      </c>
      <c r="I78" t="s">
        <v>670</v>
      </c>
      <c r="J78" t="s">
        <v>210</v>
      </c>
      <c r="K78" t="s">
        <v>115</v>
      </c>
      <c r="L78">
        <v>700580420</v>
      </c>
      <c r="M78">
        <v>12.1</v>
      </c>
      <c r="N78">
        <v>41230</v>
      </c>
      <c r="O78">
        <v>1</v>
      </c>
      <c r="P78">
        <v>12.92</v>
      </c>
      <c r="Q78">
        <v>12.92</v>
      </c>
      <c r="R78">
        <v>84509000</v>
      </c>
      <c r="S78" s="2" t="s">
        <v>664</v>
      </c>
    </row>
    <row r="79" spans="1:19" x14ac:dyDescent="0.25">
      <c r="A79" t="s">
        <v>222</v>
      </c>
      <c r="B79" t="s">
        <v>159</v>
      </c>
      <c r="C79" t="s">
        <v>160</v>
      </c>
      <c r="D79" t="s">
        <v>161</v>
      </c>
      <c r="E79" t="s">
        <v>162</v>
      </c>
      <c r="G79" t="s">
        <v>361</v>
      </c>
      <c r="H79" t="s">
        <v>362</v>
      </c>
      <c r="I79" t="s">
        <v>680</v>
      </c>
      <c r="J79" t="s">
        <v>363</v>
      </c>
      <c r="K79" t="s">
        <v>116</v>
      </c>
      <c r="L79">
        <v>700580434</v>
      </c>
      <c r="M79">
        <v>2.1</v>
      </c>
      <c r="N79">
        <v>41244</v>
      </c>
      <c r="O79">
        <v>1</v>
      </c>
      <c r="P79">
        <v>5.15</v>
      </c>
      <c r="Q79">
        <v>5.15</v>
      </c>
      <c r="R79">
        <v>84189990</v>
      </c>
      <c r="S79" s="2" t="s">
        <v>664</v>
      </c>
    </row>
    <row r="80" spans="1:19" x14ac:dyDescent="0.25">
      <c r="A80" t="s">
        <v>222</v>
      </c>
      <c r="B80" t="s">
        <v>159</v>
      </c>
      <c r="C80" t="s">
        <v>160</v>
      </c>
      <c r="D80" t="s">
        <v>161</v>
      </c>
      <c r="E80" t="s">
        <v>162</v>
      </c>
      <c r="G80" t="s">
        <v>364</v>
      </c>
      <c r="H80" t="s">
        <v>365</v>
      </c>
      <c r="I80" t="s">
        <v>674</v>
      </c>
      <c r="J80" t="s">
        <v>366</v>
      </c>
      <c r="K80" t="s">
        <v>115</v>
      </c>
      <c r="L80">
        <v>700580438</v>
      </c>
      <c r="M80">
        <v>2.1</v>
      </c>
      <c r="N80">
        <v>41248</v>
      </c>
      <c r="O80">
        <v>2</v>
      </c>
      <c r="P80">
        <v>2.5499999999999998</v>
      </c>
      <c r="Q80">
        <v>5.0999999999999996</v>
      </c>
      <c r="R80">
        <v>84509000</v>
      </c>
      <c r="S80" s="2" t="s">
        <v>664</v>
      </c>
    </row>
    <row r="81" spans="1:19" x14ac:dyDescent="0.25">
      <c r="A81" t="s">
        <v>222</v>
      </c>
      <c r="B81" t="s">
        <v>159</v>
      </c>
      <c r="C81" t="s">
        <v>160</v>
      </c>
      <c r="D81" t="s">
        <v>161</v>
      </c>
      <c r="E81" t="s">
        <v>162</v>
      </c>
      <c r="G81" t="s">
        <v>367</v>
      </c>
      <c r="H81" t="s">
        <v>368</v>
      </c>
      <c r="I81" t="s">
        <v>708</v>
      </c>
      <c r="J81" t="s">
        <v>369</v>
      </c>
      <c r="K81" t="s">
        <v>115</v>
      </c>
      <c r="L81">
        <v>700580438</v>
      </c>
      <c r="M81">
        <v>5.0999999999999996</v>
      </c>
      <c r="N81">
        <v>41248</v>
      </c>
      <c r="O81">
        <v>1</v>
      </c>
      <c r="P81">
        <v>1.28</v>
      </c>
      <c r="Q81">
        <v>1.28</v>
      </c>
      <c r="R81">
        <v>84509000</v>
      </c>
      <c r="S81" s="2" t="s">
        <v>664</v>
      </c>
    </row>
    <row r="82" spans="1:19" x14ac:dyDescent="0.25">
      <c r="A82" t="s">
        <v>222</v>
      </c>
      <c r="B82" t="s">
        <v>159</v>
      </c>
      <c r="C82" t="s">
        <v>160</v>
      </c>
      <c r="D82" t="s">
        <v>161</v>
      </c>
      <c r="E82" t="s">
        <v>162</v>
      </c>
      <c r="G82" t="s">
        <v>370</v>
      </c>
      <c r="H82" t="s">
        <v>371</v>
      </c>
      <c r="I82" t="s">
        <v>667</v>
      </c>
      <c r="J82" t="s">
        <v>372</v>
      </c>
      <c r="K82" t="s">
        <v>118</v>
      </c>
      <c r="L82">
        <v>700580440</v>
      </c>
      <c r="M82">
        <v>4.0999999999999996</v>
      </c>
      <c r="N82">
        <v>41250</v>
      </c>
      <c r="O82">
        <v>1</v>
      </c>
      <c r="P82">
        <v>23.48</v>
      </c>
      <c r="Q82">
        <v>23.48</v>
      </c>
      <c r="R82">
        <v>85169000</v>
      </c>
      <c r="S82" s="2" t="s">
        <v>664</v>
      </c>
    </row>
    <row r="83" spans="1:19" x14ac:dyDescent="0.25">
      <c r="A83" t="s">
        <v>222</v>
      </c>
      <c r="B83" t="s">
        <v>159</v>
      </c>
      <c r="C83" t="s">
        <v>160</v>
      </c>
      <c r="D83" t="s">
        <v>161</v>
      </c>
      <c r="E83" t="s">
        <v>162</v>
      </c>
      <c r="G83" t="s">
        <v>373</v>
      </c>
      <c r="H83" t="s">
        <v>175</v>
      </c>
      <c r="I83" t="s">
        <v>687</v>
      </c>
      <c r="J83" t="s">
        <v>374</v>
      </c>
      <c r="K83" t="s">
        <v>115</v>
      </c>
      <c r="L83">
        <v>700580431</v>
      </c>
      <c r="M83">
        <v>15.1</v>
      </c>
      <c r="N83">
        <v>41241</v>
      </c>
      <c r="O83">
        <v>2</v>
      </c>
      <c r="P83">
        <v>21.51</v>
      </c>
      <c r="Q83">
        <v>43.02</v>
      </c>
      <c r="R83">
        <v>84509000</v>
      </c>
      <c r="S83" s="2" t="s">
        <v>664</v>
      </c>
    </row>
    <row r="84" spans="1:19" x14ac:dyDescent="0.25">
      <c r="A84" t="s">
        <v>222</v>
      </c>
      <c r="B84" t="s">
        <v>159</v>
      </c>
      <c r="C84" t="s">
        <v>160</v>
      </c>
      <c r="D84" t="s">
        <v>161</v>
      </c>
      <c r="E84" t="s">
        <v>162</v>
      </c>
      <c r="G84" t="s">
        <v>375</v>
      </c>
      <c r="H84" t="s">
        <v>376</v>
      </c>
      <c r="I84" t="s">
        <v>724</v>
      </c>
      <c r="J84" t="s">
        <v>377</v>
      </c>
      <c r="K84" t="s">
        <v>115</v>
      </c>
      <c r="L84">
        <v>700580426</v>
      </c>
      <c r="M84">
        <v>22.1</v>
      </c>
      <c r="N84">
        <v>41236</v>
      </c>
      <c r="O84">
        <v>10</v>
      </c>
      <c r="P84">
        <v>8.17</v>
      </c>
      <c r="Q84">
        <v>81.7</v>
      </c>
      <c r="R84">
        <v>84509000</v>
      </c>
      <c r="S84" s="2" t="s">
        <v>664</v>
      </c>
    </row>
    <row r="85" spans="1:19" x14ac:dyDescent="0.25">
      <c r="A85" t="s">
        <v>222</v>
      </c>
      <c r="B85" t="s">
        <v>159</v>
      </c>
      <c r="C85" t="s">
        <v>160</v>
      </c>
      <c r="D85" t="s">
        <v>161</v>
      </c>
      <c r="E85" t="s">
        <v>162</v>
      </c>
      <c r="G85" t="s">
        <v>378</v>
      </c>
      <c r="H85" t="s">
        <v>306</v>
      </c>
      <c r="I85" t="s">
        <v>722</v>
      </c>
      <c r="J85" t="s">
        <v>379</v>
      </c>
      <c r="K85" t="s">
        <v>115</v>
      </c>
      <c r="L85">
        <v>700580428</v>
      </c>
      <c r="M85">
        <v>1.1000000000000001</v>
      </c>
      <c r="N85">
        <v>41238</v>
      </c>
      <c r="O85">
        <v>1</v>
      </c>
      <c r="P85">
        <v>2.19</v>
      </c>
      <c r="Q85">
        <v>2.19</v>
      </c>
      <c r="R85">
        <v>84509000</v>
      </c>
      <c r="S85" s="2" t="s">
        <v>664</v>
      </c>
    </row>
    <row r="86" spans="1:19" x14ac:dyDescent="0.25">
      <c r="A86" t="s">
        <v>222</v>
      </c>
      <c r="B86" t="s">
        <v>159</v>
      </c>
      <c r="C86" t="s">
        <v>160</v>
      </c>
      <c r="D86" t="s">
        <v>161</v>
      </c>
      <c r="E86" t="s">
        <v>162</v>
      </c>
      <c r="G86" t="s">
        <v>380</v>
      </c>
      <c r="H86" t="s">
        <v>381</v>
      </c>
      <c r="I86" t="s">
        <v>725</v>
      </c>
      <c r="J86" t="s">
        <v>382</v>
      </c>
      <c r="K86" t="s">
        <v>115</v>
      </c>
      <c r="L86">
        <v>700580430</v>
      </c>
      <c r="M86">
        <v>2.1</v>
      </c>
      <c r="N86">
        <v>41240</v>
      </c>
      <c r="O86">
        <v>1</v>
      </c>
      <c r="P86">
        <v>3.45</v>
      </c>
      <c r="Q86">
        <v>3.45</v>
      </c>
      <c r="R86">
        <v>84509000</v>
      </c>
      <c r="S86" s="2" t="s">
        <v>664</v>
      </c>
    </row>
    <row r="87" spans="1:19" x14ac:dyDescent="0.25">
      <c r="A87" t="s">
        <v>222</v>
      </c>
      <c r="B87" t="s">
        <v>159</v>
      </c>
      <c r="C87" t="s">
        <v>160</v>
      </c>
      <c r="D87" t="s">
        <v>161</v>
      </c>
      <c r="E87" t="s">
        <v>162</v>
      </c>
      <c r="G87" t="s">
        <v>383</v>
      </c>
      <c r="H87" t="s">
        <v>384</v>
      </c>
      <c r="I87" t="s">
        <v>692</v>
      </c>
      <c r="J87" t="s">
        <v>385</v>
      </c>
      <c r="K87" t="s">
        <v>116</v>
      </c>
      <c r="L87">
        <v>700580430</v>
      </c>
      <c r="M87">
        <v>7.1</v>
      </c>
      <c r="N87">
        <v>41240</v>
      </c>
      <c r="O87">
        <v>2</v>
      </c>
      <c r="P87">
        <v>1.5</v>
      </c>
      <c r="Q87">
        <v>3</v>
      </c>
      <c r="R87">
        <v>84189990</v>
      </c>
      <c r="S87" s="2" t="s">
        <v>664</v>
      </c>
    </row>
    <row r="88" spans="1:19" x14ac:dyDescent="0.25">
      <c r="A88" t="s">
        <v>222</v>
      </c>
      <c r="B88" t="s">
        <v>159</v>
      </c>
      <c r="C88" t="s">
        <v>160</v>
      </c>
      <c r="D88" t="s">
        <v>161</v>
      </c>
      <c r="E88" t="s">
        <v>162</v>
      </c>
      <c r="G88" t="s">
        <v>386</v>
      </c>
      <c r="H88" t="s">
        <v>330</v>
      </c>
      <c r="I88" t="s">
        <v>701</v>
      </c>
      <c r="J88" t="s">
        <v>169</v>
      </c>
      <c r="K88" t="s">
        <v>116</v>
      </c>
      <c r="L88">
        <v>700580423</v>
      </c>
      <c r="M88">
        <v>6.1</v>
      </c>
      <c r="N88">
        <v>41233</v>
      </c>
      <c r="O88">
        <v>2</v>
      </c>
      <c r="P88">
        <v>13.3</v>
      </c>
      <c r="Q88">
        <v>26.6</v>
      </c>
      <c r="R88">
        <v>84189990</v>
      </c>
      <c r="S88" s="2" t="s">
        <v>664</v>
      </c>
    </row>
    <row r="89" spans="1:19" x14ac:dyDescent="0.25">
      <c r="A89" t="s">
        <v>222</v>
      </c>
      <c r="B89" t="s">
        <v>159</v>
      </c>
      <c r="C89" t="s">
        <v>160</v>
      </c>
      <c r="D89" t="s">
        <v>161</v>
      </c>
      <c r="E89" t="s">
        <v>162</v>
      </c>
      <c r="G89" t="s">
        <v>387</v>
      </c>
      <c r="H89" t="s">
        <v>172</v>
      </c>
      <c r="I89" t="s">
        <v>667</v>
      </c>
      <c r="J89" t="s">
        <v>388</v>
      </c>
      <c r="K89" t="s">
        <v>76</v>
      </c>
      <c r="L89">
        <v>700580423</v>
      </c>
      <c r="M89">
        <v>17.100000000000001</v>
      </c>
      <c r="N89">
        <v>41233</v>
      </c>
      <c r="O89">
        <v>2</v>
      </c>
      <c r="P89">
        <v>31.24</v>
      </c>
      <c r="Q89">
        <v>62.48</v>
      </c>
      <c r="R89">
        <v>84159000</v>
      </c>
      <c r="S89" s="2" t="s">
        <v>664</v>
      </c>
    </row>
    <row r="90" spans="1:19" x14ac:dyDescent="0.25">
      <c r="A90" t="s">
        <v>222</v>
      </c>
      <c r="B90" t="s">
        <v>159</v>
      </c>
      <c r="C90" t="s">
        <v>160</v>
      </c>
      <c r="D90" t="s">
        <v>161</v>
      </c>
      <c r="E90" t="s">
        <v>162</v>
      </c>
      <c r="F90" t="s">
        <v>389</v>
      </c>
      <c r="G90" t="s">
        <v>390</v>
      </c>
      <c r="H90" t="s">
        <v>391</v>
      </c>
      <c r="I90" t="s">
        <v>726</v>
      </c>
      <c r="J90" t="s">
        <v>392</v>
      </c>
      <c r="K90" t="s">
        <v>115</v>
      </c>
      <c r="L90">
        <v>700580439</v>
      </c>
      <c r="M90">
        <v>10.1</v>
      </c>
      <c r="N90">
        <v>41249</v>
      </c>
      <c r="O90">
        <v>1</v>
      </c>
      <c r="P90">
        <v>9.77</v>
      </c>
      <c r="Q90">
        <v>9.77</v>
      </c>
      <c r="R90">
        <v>84509000</v>
      </c>
      <c r="S90" t="s">
        <v>166</v>
      </c>
    </row>
    <row r="91" spans="1:19" x14ac:dyDescent="0.25">
      <c r="A91" t="s">
        <v>222</v>
      </c>
      <c r="B91" t="s">
        <v>159</v>
      </c>
      <c r="C91" t="s">
        <v>160</v>
      </c>
      <c r="D91" t="s">
        <v>161</v>
      </c>
      <c r="E91" t="s">
        <v>162</v>
      </c>
      <c r="G91" t="s">
        <v>394</v>
      </c>
      <c r="H91" t="s">
        <v>297</v>
      </c>
      <c r="I91" t="s">
        <v>667</v>
      </c>
      <c r="J91" t="s">
        <v>395</v>
      </c>
      <c r="K91" t="s">
        <v>116</v>
      </c>
      <c r="L91">
        <v>700580433</v>
      </c>
      <c r="M91">
        <v>9.1</v>
      </c>
      <c r="N91">
        <v>41243</v>
      </c>
      <c r="O91">
        <v>1</v>
      </c>
      <c r="P91">
        <v>16.14</v>
      </c>
      <c r="Q91">
        <v>16.14</v>
      </c>
      <c r="R91">
        <v>84189990</v>
      </c>
      <c r="S91" s="2" t="s">
        <v>664</v>
      </c>
    </row>
    <row r="92" spans="1:19" x14ac:dyDescent="0.25">
      <c r="A92" t="s">
        <v>222</v>
      </c>
      <c r="B92" t="s">
        <v>159</v>
      </c>
      <c r="C92" t="s">
        <v>160</v>
      </c>
      <c r="D92" t="s">
        <v>161</v>
      </c>
      <c r="E92" t="s">
        <v>162</v>
      </c>
      <c r="G92" t="s">
        <v>396</v>
      </c>
      <c r="H92" t="s">
        <v>188</v>
      </c>
      <c r="I92" t="s">
        <v>667</v>
      </c>
      <c r="J92" t="s">
        <v>397</v>
      </c>
      <c r="K92" t="s">
        <v>120</v>
      </c>
      <c r="L92">
        <v>700580439</v>
      </c>
      <c r="M92">
        <v>5.0999999999999996</v>
      </c>
      <c r="N92">
        <v>41249</v>
      </c>
      <c r="O92">
        <v>1</v>
      </c>
      <c r="P92">
        <v>29.55</v>
      </c>
      <c r="Q92">
        <v>29.55</v>
      </c>
      <c r="R92">
        <v>85299090</v>
      </c>
      <c r="S92" s="2" t="s">
        <v>664</v>
      </c>
    </row>
    <row r="93" spans="1:19" x14ac:dyDescent="0.25">
      <c r="A93" t="s">
        <v>222</v>
      </c>
      <c r="B93" t="s">
        <v>159</v>
      </c>
      <c r="C93" t="s">
        <v>160</v>
      </c>
      <c r="D93" t="s">
        <v>161</v>
      </c>
      <c r="E93" t="s">
        <v>162</v>
      </c>
      <c r="G93" t="s">
        <v>398</v>
      </c>
      <c r="H93" t="s">
        <v>399</v>
      </c>
      <c r="I93" t="s">
        <v>680</v>
      </c>
      <c r="J93" t="s">
        <v>400</v>
      </c>
      <c r="K93" t="s">
        <v>118</v>
      </c>
      <c r="L93">
        <v>700580431</v>
      </c>
      <c r="M93">
        <v>13.1</v>
      </c>
      <c r="N93">
        <v>41241</v>
      </c>
      <c r="O93">
        <v>1</v>
      </c>
      <c r="P93">
        <v>10.15</v>
      </c>
      <c r="Q93">
        <v>10.15</v>
      </c>
      <c r="R93">
        <v>85169000</v>
      </c>
      <c r="S93" s="2" t="s">
        <v>664</v>
      </c>
    </row>
    <row r="94" spans="1:19" x14ac:dyDescent="0.25">
      <c r="A94" t="s">
        <v>222</v>
      </c>
      <c r="B94" t="s">
        <v>159</v>
      </c>
      <c r="C94" t="s">
        <v>160</v>
      </c>
      <c r="D94" t="s">
        <v>161</v>
      </c>
      <c r="E94" t="s">
        <v>162</v>
      </c>
      <c r="G94" t="s">
        <v>401</v>
      </c>
      <c r="H94" t="s">
        <v>402</v>
      </c>
      <c r="I94" t="s">
        <v>684</v>
      </c>
      <c r="J94" t="s">
        <v>403</v>
      </c>
      <c r="K94" t="s">
        <v>76</v>
      </c>
      <c r="L94">
        <v>700580427</v>
      </c>
      <c r="M94">
        <v>1.1000000000000001</v>
      </c>
      <c r="N94">
        <v>41237</v>
      </c>
      <c r="O94">
        <v>2</v>
      </c>
      <c r="P94">
        <v>6.33</v>
      </c>
      <c r="Q94">
        <v>12.66</v>
      </c>
      <c r="R94">
        <v>84159000</v>
      </c>
      <c r="S94" s="2" t="s">
        <v>664</v>
      </c>
    </row>
    <row r="95" spans="1:19" x14ac:dyDescent="0.25">
      <c r="A95" t="s">
        <v>222</v>
      </c>
      <c r="B95" t="s">
        <v>159</v>
      </c>
      <c r="C95" t="s">
        <v>160</v>
      </c>
      <c r="D95" t="s">
        <v>161</v>
      </c>
      <c r="E95" t="s">
        <v>162</v>
      </c>
      <c r="G95" t="s">
        <v>404</v>
      </c>
      <c r="H95" t="s">
        <v>405</v>
      </c>
      <c r="I95" t="s">
        <v>716</v>
      </c>
      <c r="J95" t="s">
        <v>406</v>
      </c>
      <c r="K95" t="s">
        <v>121</v>
      </c>
      <c r="L95">
        <v>700580430</v>
      </c>
      <c r="M95">
        <v>9.1</v>
      </c>
      <c r="N95">
        <v>41240</v>
      </c>
      <c r="O95">
        <v>2</v>
      </c>
      <c r="P95">
        <v>5.69</v>
      </c>
      <c r="Q95">
        <v>11.38</v>
      </c>
      <c r="R95">
        <v>85087000</v>
      </c>
      <c r="S95" s="2" t="s">
        <v>664</v>
      </c>
    </row>
    <row r="96" spans="1:19" x14ac:dyDescent="0.25">
      <c r="A96" t="s">
        <v>222</v>
      </c>
      <c r="B96" t="s">
        <v>159</v>
      </c>
      <c r="C96" t="s">
        <v>160</v>
      </c>
      <c r="D96" t="s">
        <v>161</v>
      </c>
      <c r="E96" t="s">
        <v>162</v>
      </c>
      <c r="G96" t="s">
        <v>407</v>
      </c>
      <c r="H96" t="s">
        <v>268</v>
      </c>
      <c r="I96" t="s">
        <v>700</v>
      </c>
      <c r="J96" t="s">
        <v>408</v>
      </c>
      <c r="K96" t="s">
        <v>116</v>
      </c>
      <c r="L96">
        <v>700580416</v>
      </c>
      <c r="M96">
        <v>7.1</v>
      </c>
      <c r="N96">
        <v>41226</v>
      </c>
      <c r="O96">
        <v>2</v>
      </c>
      <c r="P96">
        <v>3.6</v>
      </c>
      <c r="Q96">
        <v>7.2</v>
      </c>
      <c r="R96">
        <v>84189990</v>
      </c>
      <c r="S96" s="2" t="s">
        <v>664</v>
      </c>
    </row>
    <row r="97" spans="1:19" x14ac:dyDescent="0.25">
      <c r="A97" t="s">
        <v>222</v>
      </c>
      <c r="B97" t="s">
        <v>159</v>
      </c>
      <c r="C97" t="s">
        <v>160</v>
      </c>
      <c r="D97" t="s">
        <v>161</v>
      </c>
      <c r="E97" t="s">
        <v>162</v>
      </c>
      <c r="G97" t="s">
        <v>409</v>
      </c>
      <c r="H97" t="s">
        <v>371</v>
      </c>
      <c r="I97" t="s">
        <v>667</v>
      </c>
      <c r="J97" t="s">
        <v>410</v>
      </c>
      <c r="K97" t="s">
        <v>118</v>
      </c>
      <c r="L97">
        <v>700580416</v>
      </c>
      <c r="M97">
        <v>14.1</v>
      </c>
      <c r="N97">
        <v>41226</v>
      </c>
      <c r="O97">
        <v>4</v>
      </c>
      <c r="P97">
        <v>25.74</v>
      </c>
      <c r="Q97">
        <v>102.96</v>
      </c>
      <c r="R97">
        <v>85169000</v>
      </c>
      <c r="S97" s="2" t="s">
        <v>664</v>
      </c>
    </row>
    <row r="98" spans="1:19" x14ac:dyDescent="0.25">
      <c r="A98" t="s">
        <v>222</v>
      </c>
      <c r="B98" t="s">
        <v>159</v>
      </c>
      <c r="C98" t="s">
        <v>160</v>
      </c>
      <c r="D98" t="s">
        <v>161</v>
      </c>
      <c r="E98" t="s">
        <v>162</v>
      </c>
      <c r="G98" t="s">
        <v>411</v>
      </c>
      <c r="H98" t="s">
        <v>371</v>
      </c>
      <c r="I98" t="s">
        <v>667</v>
      </c>
      <c r="J98" t="s">
        <v>412</v>
      </c>
      <c r="K98" t="s">
        <v>76</v>
      </c>
      <c r="L98">
        <v>700580416</v>
      </c>
      <c r="M98">
        <v>15.1</v>
      </c>
      <c r="N98">
        <v>41226</v>
      </c>
      <c r="O98">
        <v>1</v>
      </c>
      <c r="P98">
        <v>100.21</v>
      </c>
      <c r="Q98">
        <v>100.21</v>
      </c>
      <c r="R98">
        <v>84159000</v>
      </c>
      <c r="S98" s="2" t="s">
        <v>664</v>
      </c>
    </row>
    <row r="99" spans="1:19" x14ac:dyDescent="0.25">
      <c r="A99" t="s">
        <v>222</v>
      </c>
      <c r="B99" t="s">
        <v>159</v>
      </c>
      <c r="C99" t="s">
        <v>160</v>
      </c>
      <c r="D99" t="s">
        <v>161</v>
      </c>
      <c r="E99" t="s">
        <v>162</v>
      </c>
      <c r="G99" t="s">
        <v>413</v>
      </c>
      <c r="H99" t="s">
        <v>414</v>
      </c>
      <c r="I99" t="s">
        <v>701</v>
      </c>
      <c r="J99" t="s">
        <v>415</v>
      </c>
      <c r="K99" t="s">
        <v>115</v>
      </c>
      <c r="L99">
        <v>700580418</v>
      </c>
      <c r="M99">
        <v>2.1</v>
      </c>
      <c r="N99">
        <v>41228</v>
      </c>
      <c r="O99">
        <v>2</v>
      </c>
      <c r="P99">
        <v>12.63</v>
      </c>
      <c r="Q99">
        <v>25.26</v>
      </c>
      <c r="R99">
        <v>84509000</v>
      </c>
      <c r="S99" s="2" t="s">
        <v>664</v>
      </c>
    </row>
    <row r="100" spans="1:19" x14ac:dyDescent="0.25">
      <c r="A100" t="s">
        <v>222</v>
      </c>
      <c r="B100" t="s">
        <v>159</v>
      </c>
      <c r="C100" t="s">
        <v>160</v>
      </c>
      <c r="D100" t="s">
        <v>161</v>
      </c>
      <c r="E100" t="s">
        <v>162</v>
      </c>
      <c r="G100" t="s">
        <v>416</v>
      </c>
      <c r="H100" t="s">
        <v>297</v>
      </c>
      <c r="I100" t="s">
        <v>667</v>
      </c>
      <c r="J100" t="s">
        <v>417</v>
      </c>
      <c r="K100" t="s">
        <v>76</v>
      </c>
      <c r="L100">
        <v>700580419</v>
      </c>
      <c r="M100">
        <v>1.1000000000000001</v>
      </c>
      <c r="N100">
        <v>41229</v>
      </c>
      <c r="O100">
        <v>2</v>
      </c>
      <c r="P100">
        <v>2.27</v>
      </c>
      <c r="Q100">
        <v>4.54</v>
      </c>
      <c r="R100">
        <v>84159000</v>
      </c>
      <c r="S100" s="2" t="s">
        <v>664</v>
      </c>
    </row>
    <row r="101" spans="1:19" x14ac:dyDescent="0.25">
      <c r="A101" t="s">
        <v>222</v>
      </c>
      <c r="B101" t="s">
        <v>159</v>
      </c>
      <c r="C101" t="s">
        <v>160</v>
      </c>
      <c r="D101" t="s">
        <v>161</v>
      </c>
      <c r="E101" t="s">
        <v>162</v>
      </c>
      <c r="G101" t="s">
        <v>418</v>
      </c>
      <c r="H101" t="s">
        <v>238</v>
      </c>
      <c r="I101" t="s">
        <v>667</v>
      </c>
      <c r="J101" t="s">
        <v>419</v>
      </c>
      <c r="K101" t="s">
        <v>120</v>
      </c>
      <c r="L101">
        <v>700580420</v>
      </c>
      <c r="M101">
        <v>1.1000000000000001</v>
      </c>
      <c r="N101">
        <v>41230</v>
      </c>
      <c r="O101">
        <v>1</v>
      </c>
      <c r="P101">
        <v>58.66</v>
      </c>
      <c r="Q101">
        <v>58.66</v>
      </c>
      <c r="R101">
        <v>85299090</v>
      </c>
      <c r="S101" s="2" t="s">
        <v>664</v>
      </c>
    </row>
    <row r="102" spans="1:19" x14ac:dyDescent="0.25">
      <c r="A102" t="s">
        <v>222</v>
      </c>
      <c r="B102" t="s">
        <v>159</v>
      </c>
      <c r="C102" t="s">
        <v>160</v>
      </c>
      <c r="D102" t="s">
        <v>161</v>
      </c>
      <c r="E102" t="s">
        <v>162</v>
      </c>
      <c r="G102" t="s">
        <v>420</v>
      </c>
      <c r="H102" t="s">
        <v>421</v>
      </c>
      <c r="I102" t="s">
        <v>714</v>
      </c>
      <c r="J102" t="s">
        <v>422</v>
      </c>
      <c r="K102" t="s">
        <v>120</v>
      </c>
      <c r="L102">
        <v>700580420</v>
      </c>
      <c r="M102">
        <v>3.1</v>
      </c>
      <c r="N102">
        <v>41230</v>
      </c>
      <c r="O102">
        <v>1</v>
      </c>
      <c r="P102">
        <v>19.52</v>
      </c>
      <c r="Q102">
        <v>19.52</v>
      </c>
      <c r="R102">
        <v>85299090</v>
      </c>
      <c r="S102" s="2" t="s">
        <v>664</v>
      </c>
    </row>
    <row r="103" spans="1:19" x14ac:dyDescent="0.25">
      <c r="A103" t="s">
        <v>222</v>
      </c>
      <c r="B103" t="s">
        <v>159</v>
      </c>
      <c r="C103" t="s">
        <v>160</v>
      </c>
      <c r="D103" t="s">
        <v>161</v>
      </c>
      <c r="E103" t="s">
        <v>162</v>
      </c>
      <c r="G103" t="s">
        <v>423</v>
      </c>
      <c r="H103" t="s">
        <v>424</v>
      </c>
      <c r="I103" t="s">
        <v>715</v>
      </c>
      <c r="J103" t="s">
        <v>425</v>
      </c>
      <c r="K103" t="s">
        <v>120</v>
      </c>
      <c r="L103">
        <v>700580420</v>
      </c>
      <c r="M103">
        <v>5.0999999999999996</v>
      </c>
      <c r="N103">
        <v>41230</v>
      </c>
      <c r="O103">
        <v>3</v>
      </c>
      <c r="P103">
        <v>12.72</v>
      </c>
      <c r="Q103">
        <v>38.159999999999997</v>
      </c>
      <c r="R103">
        <v>85299090</v>
      </c>
      <c r="S103" t="s">
        <v>186</v>
      </c>
    </row>
    <row r="104" spans="1:19" x14ac:dyDescent="0.25">
      <c r="A104" t="s">
        <v>222</v>
      </c>
      <c r="B104" t="s">
        <v>159</v>
      </c>
      <c r="C104" t="s">
        <v>160</v>
      </c>
      <c r="D104" t="s">
        <v>161</v>
      </c>
      <c r="E104" t="s">
        <v>162</v>
      </c>
      <c r="G104" t="s">
        <v>426</v>
      </c>
      <c r="H104" t="s">
        <v>424</v>
      </c>
      <c r="I104" t="s">
        <v>715</v>
      </c>
      <c r="J104" t="s">
        <v>427</v>
      </c>
      <c r="K104" t="s">
        <v>120</v>
      </c>
      <c r="L104">
        <v>700580420</v>
      </c>
      <c r="M104">
        <v>6.1</v>
      </c>
      <c r="N104">
        <v>41230</v>
      </c>
      <c r="O104">
        <v>5</v>
      </c>
      <c r="P104">
        <v>12.61</v>
      </c>
      <c r="Q104">
        <v>63.05</v>
      </c>
      <c r="R104">
        <v>85299090</v>
      </c>
      <c r="S104" t="s">
        <v>186</v>
      </c>
    </row>
    <row r="105" spans="1:19" x14ac:dyDescent="0.25">
      <c r="A105" t="s">
        <v>222</v>
      </c>
      <c r="B105" t="s">
        <v>159</v>
      </c>
      <c r="C105" t="s">
        <v>160</v>
      </c>
      <c r="D105" t="s">
        <v>161</v>
      </c>
      <c r="E105" t="s">
        <v>162</v>
      </c>
      <c r="F105" t="s">
        <v>428</v>
      </c>
      <c r="G105" t="s">
        <v>429</v>
      </c>
      <c r="H105" t="s">
        <v>430</v>
      </c>
      <c r="I105" t="s">
        <v>685</v>
      </c>
      <c r="J105" t="s">
        <v>431</v>
      </c>
      <c r="K105" t="s">
        <v>116</v>
      </c>
      <c r="L105">
        <v>700580431</v>
      </c>
      <c r="M105">
        <v>19.100000000000001</v>
      </c>
      <c r="N105">
        <v>41241</v>
      </c>
      <c r="O105">
        <v>1</v>
      </c>
      <c r="P105">
        <v>2.0499999999999998</v>
      </c>
      <c r="Q105">
        <v>2.0499999999999998</v>
      </c>
      <c r="R105">
        <v>84189990</v>
      </c>
      <c r="S105" s="2" t="s">
        <v>664</v>
      </c>
    </row>
    <row r="106" spans="1:19" x14ac:dyDescent="0.25">
      <c r="A106" t="s">
        <v>222</v>
      </c>
      <c r="B106" t="s">
        <v>159</v>
      </c>
      <c r="C106" t="s">
        <v>160</v>
      </c>
      <c r="D106" t="s">
        <v>161</v>
      </c>
      <c r="E106" t="s">
        <v>162</v>
      </c>
      <c r="F106" t="s">
        <v>432</v>
      </c>
      <c r="G106" t="s">
        <v>433</v>
      </c>
      <c r="H106" t="s">
        <v>434</v>
      </c>
      <c r="I106" t="s">
        <v>667</v>
      </c>
      <c r="J106" t="s">
        <v>435</v>
      </c>
      <c r="K106" t="s">
        <v>120</v>
      </c>
      <c r="L106">
        <v>700580431</v>
      </c>
      <c r="M106">
        <v>20.100000000000001</v>
      </c>
      <c r="N106">
        <v>41241</v>
      </c>
      <c r="O106">
        <v>1</v>
      </c>
      <c r="P106">
        <v>24.71</v>
      </c>
      <c r="Q106">
        <v>24.71</v>
      </c>
      <c r="R106">
        <v>85299090</v>
      </c>
      <c r="S106" s="2" t="s">
        <v>664</v>
      </c>
    </row>
    <row r="107" spans="1:19" x14ac:dyDescent="0.25">
      <c r="A107" t="s">
        <v>222</v>
      </c>
      <c r="B107" t="s">
        <v>159</v>
      </c>
      <c r="C107" t="s">
        <v>160</v>
      </c>
      <c r="D107" t="s">
        <v>161</v>
      </c>
      <c r="E107" t="s">
        <v>162</v>
      </c>
      <c r="F107" t="s">
        <v>436</v>
      </c>
      <c r="G107" t="s">
        <v>437</v>
      </c>
      <c r="H107" t="s">
        <v>438</v>
      </c>
      <c r="I107" t="s">
        <v>708</v>
      </c>
      <c r="J107" t="s">
        <v>229</v>
      </c>
      <c r="K107" t="s">
        <v>118</v>
      </c>
      <c r="L107">
        <v>700580416</v>
      </c>
      <c r="M107">
        <v>18.100000000000001</v>
      </c>
      <c r="N107">
        <v>41226</v>
      </c>
      <c r="O107">
        <v>2</v>
      </c>
      <c r="P107">
        <v>0.55000000000000004</v>
      </c>
      <c r="Q107">
        <v>1.1000000000000001</v>
      </c>
      <c r="R107">
        <v>85169000</v>
      </c>
      <c r="S107" s="2" t="s">
        <v>664</v>
      </c>
    </row>
    <row r="108" spans="1:19" x14ac:dyDescent="0.25">
      <c r="A108" t="s">
        <v>222</v>
      </c>
      <c r="B108" t="s">
        <v>159</v>
      </c>
      <c r="C108" t="s">
        <v>160</v>
      </c>
      <c r="D108" t="s">
        <v>161</v>
      </c>
      <c r="E108" t="s">
        <v>162</v>
      </c>
      <c r="F108" t="s">
        <v>439</v>
      </c>
      <c r="G108" t="s">
        <v>440</v>
      </c>
      <c r="H108" t="s">
        <v>434</v>
      </c>
      <c r="I108" t="s">
        <v>667</v>
      </c>
      <c r="J108" t="s">
        <v>441</v>
      </c>
      <c r="K108" t="s">
        <v>120</v>
      </c>
      <c r="L108">
        <v>700580423</v>
      </c>
      <c r="M108">
        <v>35.1</v>
      </c>
      <c r="N108">
        <v>41233</v>
      </c>
      <c r="O108">
        <v>2</v>
      </c>
      <c r="P108">
        <v>17.89</v>
      </c>
      <c r="Q108">
        <v>35.78</v>
      </c>
      <c r="R108">
        <v>85299090</v>
      </c>
      <c r="S108" s="2" t="s">
        <v>664</v>
      </c>
    </row>
    <row r="109" spans="1:19" x14ac:dyDescent="0.25">
      <c r="A109" t="s">
        <v>222</v>
      </c>
      <c r="B109" t="s">
        <v>159</v>
      </c>
      <c r="C109" t="s">
        <v>160</v>
      </c>
      <c r="D109" t="s">
        <v>161</v>
      </c>
      <c r="E109" t="s">
        <v>162</v>
      </c>
      <c r="G109" t="s">
        <v>442</v>
      </c>
      <c r="H109" t="s">
        <v>65</v>
      </c>
      <c r="I109" t="s">
        <v>679</v>
      </c>
      <c r="J109" t="s">
        <v>443</v>
      </c>
      <c r="K109" t="s">
        <v>76</v>
      </c>
      <c r="L109">
        <v>700580433</v>
      </c>
      <c r="M109">
        <v>2.1</v>
      </c>
      <c r="N109">
        <v>41243</v>
      </c>
      <c r="O109">
        <v>5</v>
      </c>
      <c r="P109">
        <v>29.45</v>
      </c>
      <c r="Q109">
        <v>147.25</v>
      </c>
      <c r="R109">
        <v>84159000</v>
      </c>
      <c r="S109" s="2" t="s">
        <v>664</v>
      </c>
    </row>
    <row r="110" spans="1:19" x14ac:dyDescent="0.25">
      <c r="A110" t="s">
        <v>222</v>
      </c>
      <c r="B110" t="s">
        <v>159</v>
      </c>
      <c r="C110" t="s">
        <v>160</v>
      </c>
      <c r="D110" t="s">
        <v>161</v>
      </c>
      <c r="E110" t="s">
        <v>162</v>
      </c>
      <c r="G110" t="s">
        <v>444</v>
      </c>
      <c r="H110" t="s">
        <v>213</v>
      </c>
      <c r="I110" t="s">
        <v>667</v>
      </c>
      <c r="J110" t="s">
        <v>445</v>
      </c>
      <c r="K110" t="s">
        <v>120</v>
      </c>
      <c r="L110">
        <v>700580433</v>
      </c>
      <c r="M110">
        <v>6.1</v>
      </c>
      <c r="N110">
        <v>41243</v>
      </c>
      <c r="O110">
        <v>2</v>
      </c>
      <c r="P110">
        <v>19.37</v>
      </c>
      <c r="Q110">
        <v>38.74</v>
      </c>
      <c r="R110">
        <v>85299090</v>
      </c>
      <c r="S110" s="2" t="s">
        <v>664</v>
      </c>
    </row>
    <row r="111" spans="1:19" x14ac:dyDescent="0.25">
      <c r="A111" t="s">
        <v>222</v>
      </c>
      <c r="B111" t="s">
        <v>159</v>
      </c>
      <c r="C111" t="s">
        <v>160</v>
      </c>
      <c r="D111" t="s">
        <v>161</v>
      </c>
      <c r="E111" t="s">
        <v>162</v>
      </c>
      <c r="G111" t="s">
        <v>446</v>
      </c>
      <c r="H111" t="s">
        <v>447</v>
      </c>
      <c r="I111" t="s">
        <v>671</v>
      </c>
      <c r="J111" t="s">
        <v>448</v>
      </c>
      <c r="K111" t="s">
        <v>115</v>
      </c>
      <c r="L111">
        <v>700580434</v>
      </c>
      <c r="M111">
        <v>1.1000000000000001</v>
      </c>
      <c r="N111">
        <v>41244</v>
      </c>
      <c r="O111">
        <v>2</v>
      </c>
      <c r="P111">
        <v>6.01</v>
      </c>
      <c r="Q111">
        <v>12.02</v>
      </c>
      <c r="R111">
        <v>84509000</v>
      </c>
      <c r="S111" s="2" t="s">
        <v>664</v>
      </c>
    </row>
    <row r="112" spans="1:19" x14ac:dyDescent="0.25">
      <c r="A112" t="s">
        <v>222</v>
      </c>
      <c r="B112" t="s">
        <v>159</v>
      </c>
      <c r="C112" t="s">
        <v>160</v>
      </c>
      <c r="D112" t="s">
        <v>161</v>
      </c>
      <c r="E112" t="s">
        <v>162</v>
      </c>
      <c r="G112" t="s">
        <v>449</v>
      </c>
      <c r="H112" t="s">
        <v>450</v>
      </c>
      <c r="I112" t="s">
        <v>733</v>
      </c>
      <c r="J112" t="s">
        <v>451</v>
      </c>
      <c r="K112" t="s">
        <v>115</v>
      </c>
      <c r="L112">
        <v>700580435</v>
      </c>
      <c r="M112">
        <v>1.1000000000000001</v>
      </c>
      <c r="N112">
        <v>41245</v>
      </c>
      <c r="O112">
        <v>2</v>
      </c>
      <c r="P112">
        <v>1.1399999999999999</v>
      </c>
      <c r="Q112">
        <v>2.2799999999999998</v>
      </c>
      <c r="R112">
        <v>84509000</v>
      </c>
      <c r="S112" s="2" t="s">
        <v>664</v>
      </c>
    </row>
    <row r="113" spans="1:19" x14ac:dyDescent="0.25">
      <c r="A113" t="s">
        <v>222</v>
      </c>
      <c r="B113" t="s">
        <v>159</v>
      </c>
      <c r="C113" t="s">
        <v>160</v>
      </c>
      <c r="D113" t="s">
        <v>161</v>
      </c>
      <c r="E113" t="s">
        <v>162</v>
      </c>
      <c r="G113" t="s">
        <v>452</v>
      </c>
      <c r="H113" t="s">
        <v>365</v>
      </c>
      <c r="I113" t="s">
        <v>674</v>
      </c>
      <c r="J113" t="s">
        <v>453</v>
      </c>
      <c r="K113" t="s">
        <v>115</v>
      </c>
      <c r="L113">
        <v>700580438</v>
      </c>
      <c r="M113">
        <v>1.1000000000000001</v>
      </c>
      <c r="N113">
        <v>41248</v>
      </c>
      <c r="O113">
        <v>1</v>
      </c>
      <c r="P113">
        <v>4.72</v>
      </c>
      <c r="Q113">
        <v>4.72</v>
      </c>
      <c r="R113">
        <v>84509000</v>
      </c>
      <c r="S113" s="2" t="s">
        <v>664</v>
      </c>
    </row>
    <row r="114" spans="1:19" x14ac:dyDescent="0.25">
      <c r="A114" t="s">
        <v>222</v>
      </c>
      <c r="B114" t="s">
        <v>159</v>
      </c>
      <c r="C114" t="s">
        <v>160</v>
      </c>
      <c r="D114" t="s">
        <v>161</v>
      </c>
      <c r="E114" t="s">
        <v>162</v>
      </c>
      <c r="G114" t="s">
        <v>454</v>
      </c>
      <c r="H114" t="s">
        <v>365</v>
      </c>
      <c r="I114" t="s">
        <v>674</v>
      </c>
      <c r="J114" t="s">
        <v>455</v>
      </c>
      <c r="K114" t="s">
        <v>115</v>
      </c>
      <c r="L114">
        <v>700580438</v>
      </c>
      <c r="M114">
        <v>3.1</v>
      </c>
      <c r="N114">
        <v>41248</v>
      </c>
      <c r="O114">
        <v>3</v>
      </c>
      <c r="P114">
        <v>1.41</v>
      </c>
      <c r="Q114">
        <v>4.2300000000000004</v>
      </c>
      <c r="R114">
        <v>84509000</v>
      </c>
      <c r="S114" s="2" t="s">
        <v>664</v>
      </c>
    </row>
    <row r="115" spans="1:19" x14ac:dyDescent="0.25">
      <c r="A115" t="s">
        <v>222</v>
      </c>
      <c r="B115" t="s">
        <v>159</v>
      </c>
      <c r="C115" t="s">
        <v>160</v>
      </c>
      <c r="D115" t="s">
        <v>161</v>
      </c>
      <c r="E115" t="s">
        <v>162</v>
      </c>
      <c r="G115" t="s">
        <v>456</v>
      </c>
      <c r="H115" t="s">
        <v>209</v>
      </c>
      <c r="I115" t="s">
        <v>670</v>
      </c>
      <c r="J115" t="s">
        <v>457</v>
      </c>
      <c r="K115" t="s">
        <v>115</v>
      </c>
      <c r="L115">
        <v>700580438</v>
      </c>
      <c r="M115">
        <v>4.0999999999999996</v>
      </c>
      <c r="N115">
        <v>41248</v>
      </c>
      <c r="O115">
        <v>5</v>
      </c>
      <c r="P115">
        <v>1.87</v>
      </c>
      <c r="Q115">
        <v>9.35</v>
      </c>
      <c r="R115">
        <v>84509000</v>
      </c>
      <c r="S115" s="2" t="s">
        <v>664</v>
      </c>
    </row>
    <row r="116" spans="1:19" x14ac:dyDescent="0.25">
      <c r="A116" t="s">
        <v>222</v>
      </c>
      <c r="B116" t="s">
        <v>159</v>
      </c>
      <c r="C116" t="s">
        <v>160</v>
      </c>
      <c r="D116" t="s">
        <v>161</v>
      </c>
      <c r="E116" t="s">
        <v>162</v>
      </c>
      <c r="G116" t="s">
        <v>458</v>
      </c>
      <c r="H116" t="s">
        <v>324</v>
      </c>
      <c r="I116" t="s">
        <v>727</v>
      </c>
      <c r="J116" t="s">
        <v>459</v>
      </c>
      <c r="K116" t="s">
        <v>115</v>
      </c>
      <c r="L116">
        <v>700580438</v>
      </c>
      <c r="M116">
        <v>6.1</v>
      </c>
      <c r="N116">
        <v>41248</v>
      </c>
      <c r="O116">
        <v>1</v>
      </c>
      <c r="P116">
        <v>7.11</v>
      </c>
      <c r="Q116">
        <v>7.11</v>
      </c>
      <c r="R116">
        <v>84509000</v>
      </c>
      <c r="S116" s="2" t="s">
        <v>664</v>
      </c>
    </row>
    <row r="117" spans="1:19" x14ac:dyDescent="0.25">
      <c r="A117" t="s">
        <v>222</v>
      </c>
      <c r="B117" t="s">
        <v>159</v>
      </c>
      <c r="C117" t="s">
        <v>160</v>
      </c>
      <c r="D117" t="s">
        <v>161</v>
      </c>
      <c r="E117" t="s">
        <v>162</v>
      </c>
      <c r="G117" t="s">
        <v>460</v>
      </c>
      <c r="H117" t="s">
        <v>461</v>
      </c>
      <c r="I117" t="s">
        <v>668</v>
      </c>
      <c r="J117" t="s">
        <v>462</v>
      </c>
      <c r="K117" t="s">
        <v>116</v>
      </c>
      <c r="L117">
        <v>700580438</v>
      </c>
      <c r="M117">
        <v>7.1</v>
      </c>
      <c r="N117">
        <v>41248</v>
      </c>
      <c r="O117">
        <v>1</v>
      </c>
      <c r="P117">
        <v>9.31</v>
      </c>
      <c r="Q117">
        <v>9.31</v>
      </c>
      <c r="R117">
        <v>84189990</v>
      </c>
      <c r="S117" t="s">
        <v>166</v>
      </c>
    </row>
    <row r="118" spans="1:19" x14ac:dyDescent="0.25">
      <c r="A118" t="s">
        <v>222</v>
      </c>
      <c r="B118" t="s">
        <v>159</v>
      </c>
      <c r="C118" t="s">
        <v>160</v>
      </c>
      <c r="D118" t="s">
        <v>161</v>
      </c>
      <c r="E118" t="s">
        <v>162</v>
      </c>
      <c r="G118" t="s">
        <v>463</v>
      </c>
      <c r="H118" t="s">
        <v>464</v>
      </c>
      <c r="I118" t="s">
        <v>673</v>
      </c>
      <c r="J118" t="s">
        <v>465</v>
      </c>
      <c r="K118" t="s">
        <v>115</v>
      </c>
      <c r="L118">
        <v>700580439</v>
      </c>
      <c r="M118">
        <v>2.1</v>
      </c>
      <c r="N118">
        <v>41249</v>
      </c>
      <c r="O118">
        <v>3</v>
      </c>
      <c r="P118">
        <v>6.09</v>
      </c>
      <c r="Q118">
        <v>18.27</v>
      </c>
      <c r="R118">
        <v>84509000</v>
      </c>
      <c r="S118" s="2" t="s">
        <v>664</v>
      </c>
    </row>
    <row r="119" spans="1:19" x14ac:dyDescent="0.25">
      <c r="A119" t="s">
        <v>222</v>
      </c>
      <c r="B119" t="s">
        <v>159</v>
      </c>
      <c r="C119" t="s">
        <v>160</v>
      </c>
      <c r="D119" t="s">
        <v>161</v>
      </c>
      <c r="E119" t="s">
        <v>162</v>
      </c>
      <c r="G119" t="s">
        <v>466</v>
      </c>
      <c r="H119" t="s">
        <v>63</v>
      </c>
      <c r="I119" t="s">
        <v>685</v>
      </c>
      <c r="J119" t="s">
        <v>467</v>
      </c>
      <c r="K119" t="s">
        <v>76</v>
      </c>
      <c r="L119">
        <v>700580439</v>
      </c>
      <c r="M119">
        <v>7.1</v>
      </c>
      <c r="N119">
        <v>41249</v>
      </c>
      <c r="O119">
        <v>3</v>
      </c>
      <c r="P119">
        <v>9.0399999999999991</v>
      </c>
      <c r="Q119">
        <v>27.12</v>
      </c>
      <c r="R119">
        <v>84159000</v>
      </c>
      <c r="S119" s="2" t="s">
        <v>664</v>
      </c>
    </row>
    <row r="120" spans="1:19" x14ac:dyDescent="0.25">
      <c r="A120" t="s">
        <v>222</v>
      </c>
      <c r="B120" t="s">
        <v>159</v>
      </c>
      <c r="C120" t="s">
        <v>160</v>
      </c>
      <c r="D120" t="s">
        <v>161</v>
      </c>
      <c r="E120" t="s">
        <v>162</v>
      </c>
      <c r="G120" t="s">
        <v>468</v>
      </c>
      <c r="H120" t="s">
        <v>280</v>
      </c>
      <c r="I120" t="s">
        <v>678</v>
      </c>
      <c r="J120" t="s">
        <v>469</v>
      </c>
      <c r="K120" t="s">
        <v>115</v>
      </c>
      <c r="L120">
        <v>700580439</v>
      </c>
      <c r="M120">
        <v>8.1</v>
      </c>
      <c r="N120">
        <v>41249</v>
      </c>
      <c r="O120">
        <v>2</v>
      </c>
      <c r="P120">
        <v>12.56</v>
      </c>
      <c r="Q120">
        <v>25.12</v>
      </c>
      <c r="R120">
        <v>84509000</v>
      </c>
      <c r="S120" s="2" t="s">
        <v>664</v>
      </c>
    </row>
    <row r="121" spans="1:19" x14ac:dyDescent="0.25">
      <c r="A121" t="s">
        <v>222</v>
      </c>
      <c r="B121" t="s">
        <v>159</v>
      </c>
      <c r="C121" t="s">
        <v>160</v>
      </c>
      <c r="D121" t="s">
        <v>161</v>
      </c>
      <c r="E121" t="s">
        <v>162</v>
      </c>
      <c r="G121" t="s">
        <v>470</v>
      </c>
      <c r="H121" t="s">
        <v>471</v>
      </c>
      <c r="I121" t="s">
        <v>686</v>
      </c>
      <c r="J121" t="s">
        <v>472</v>
      </c>
      <c r="K121" t="s">
        <v>76</v>
      </c>
      <c r="L121">
        <v>700580440</v>
      </c>
      <c r="M121">
        <v>1.1000000000000001</v>
      </c>
      <c r="N121">
        <v>41250</v>
      </c>
      <c r="O121">
        <v>2</v>
      </c>
      <c r="P121">
        <v>27.32</v>
      </c>
      <c r="Q121">
        <v>54.64</v>
      </c>
      <c r="R121">
        <v>84159000</v>
      </c>
      <c r="S121" s="2" t="s">
        <v>664</v>
      </c>
    </row>
    <row r="122" spans="1:19" x14ac:dyDescent="0.25">
      <c r="A122" t="s">
        <v>222</v>
      </c>
      <c r="B122" t="s">
        <v>159</v>
      </c>
      <c r="C122" t="s">
        <v>160</v>
      </c>
      <c r="D122" t="s">
        <v>161</v>
      </c>
      <c r="E122" t="s">
        <v>162</v>
      </c>
      <c r="G122" t="s">
        <v>473</v>
      </c>
      <c r="H122" t="s">
        <v>252</v>
      </c>
      <c r="I122" t="s">
        <v>667</v>
      </c>
      <c r="J122" t="s">
        <v>474</v>
      </c>
      <c r="K122" t="s">
        <v>76</v>
      </c>
      <c r="L122">
        <v>700580440</v>
      </c>
      <c r="M122">
        <v>3.1</v>
      </c>
      <c r="N122">
        <v>41250</v>
      </c>
      <c r="O122">
        <v>1</v>
      </c>
      <c r="P122">
        <v>25.07</v>
      </c>
      <c r="Q122">
        <v>25.07</v>
      </c>
      <c r="R122">
        <v>84159000</v>
      </c>
      <c r="S122" s="2" t="s">
        <v>664</v>
      </c>
    </row>
    <row r="123" spans="1:19" x14ac:dyDescent="0.25">
      <c r="A123" t="s">
        <v>222</v>
      </c>
      <c r="B123" t="s">
        <v>159</v>
      </c>
      <c r="C123" t="s">
        <v>160</v>
      </c>
      <c r="D123" t="s">
        <v>161</v>
      </c>
      <c r="E123" t="s">
        <v>162</v>
      </c>
      <c r="G123" t="s">
        <v>475</v>
      </c>
      <c r="H123" t="s">
        <v>172</v>
      </c>
      <c r="I123" t="s">
        <v>667</v>
      </c>
      <c r="J123" t="s">
        <v>476</v>
      </c>
      <c r="K123" t="s">
        <v>115</v>
      </c>
      <c r="L123">
        <v>700580440</v>
      </c>
      <c r="M123">
        <v>5.0999999999999996</v>
      </c>
      <c r="N123">
        <v>41250</v>
      </c>
      <c r="O123">
        <v>2</v>
      </c>
      <c r="P123">
        <v>34.89</v>
      </c>
      <c r="Q123">
        <v>69.78</v>
      </c>
      <c r="R123">
        <v>84509000</v>
      </c>
      <c r="S123" s="2" t="s">
        <v>664</v>
      </c>
    </row>
    <row r="124" spans="1:19" x14ac:dyDescent="0.25">
      <c r="A124" t="s">
        <v>222</v>
      </c>
      <c r="B124" t="s">
        <v>159</v>
      </c>
      <c r="C124" t="s">
        <v>160</v>
      </c>
      <c r="D124" t="s">
        <v>161</v>
      </c>
      <c r="E124" t="s">
        <v>162</v>
      </c>
      <c r="G124" t="s">
        <v>477</v>
      </c>
      <c r="H124" t="s">
        <v>188</v>
      </c>
      <c r="I124" t="s">
        <v>667</v>
      </c>
      <c r="J124" t="s">
        <v>478</v>
      </c>
      <c r="K124" t="s">
        <v>120</v>
      </c>
      <c r="L124">
        <v>700580440</v>
      </c>
      <c r="M124">
        <v>7.1</v>
      </c>
      <c r="N124">
        <v>41250</v>
      </c>
      <c r="O124">
        <v>1</v>
      </c>
      <c r="P124">
        <v>21.07</v>
      </c>
      <c r="Q124">
        <v>21.07</v>
      </c>
      <c r="R124">
        <v>85299090</v>
      </c>
      <c r="S124" s="2" t="s">
        <v>664</v>
      </c>
    </row>
    <row r="125" spans="1:19" x14ac:dyDescent="0.25">
      <c r="A125" t="s">
        <v>222</v>
      </c>
      <c r="B125" t="s">
        <v>159</v>
      </c>
      <c r="C125" t="s">
        <v>160</v>
      </c>
      <c r="D125" t="s">
        <v>161</v>
      </c>
      <c r="E125" t="s">
        <v>162</v>
      </c>
      <c r="G125" t="s">
        <v>479</v>
      </c>
      <c r="H125" t="s">
        <v>480</v>
      </c>
      <c r="I125" t="s">
        <v>734</v>
      </c>
      <c r="J125" t="s">
        <v>481</v>
      </c>
      <c r="K125" t="s">
        <v>115</v>
      </c>
      <c r="L125">
        <v>700580440</v>
      </c>
      <c r="M125">
        <v>8.1</v>
      </c>
      <c r="N125">
        <v>41250</v>
      </c>
      <c r="O125">
        <v>1</v>
      </c>
      <c r="P125">
        <v>0.78</v>
      </c>
      <c r="Q125">
        <v>0.78</v>
      </c>
      <c r="R125">
        <v>84509000</v>
      </c>
      <c r="S125" s="2" t="s">
        <v>664</v>
      </c>
    </row>
    <row r="126" spans="1:19" x14ac:dyDescent="0.25">
      <c r="A126" t="s">
        <v>222</v>
      </c>
      <c r="B126" t="s">
        <v>159</v>
      </c>
      <c r="C126" t="s">
        <v>160</v>
      </c>
      <c r="D126" t="s">
        <v>161</v>
      </c>
      <c r="E126" t="s">
        <v>162</v>
      </c>
      <c r="G126" t="s">
        <v>482</v>
      </c>
      <c r="H126" t="s">
        <v>483</v>
      </c>
      <c r="I126" t="s">
        <v>692</v>
      </c>
      <c r="J126" t="s">
        <v>484</v>
      </c>
      <c r="K126" t="s">
        <v>118</v>
      </c>
      <c r="L126">
        <v>700580440</v>
      </c>
      <c r="M126">
        <v>9.1</v>
      </c>
      <c r="N126">
        <v>41250</v>
      </c>
      <c r="O126">
        <v>1</v>
      </c>
      <c r="P126">
        <v>25.58</v>
      </c>
      <c r="Q126">
        <v>25.58</v>
      </c>
      <c r="R126">
        <v>85169000</v>
      </c>
      <c r="S126" s="2" t="s">
        <v>664</v>
      </c>
    </row>
    <row r="127" spans="1:19" x14ac:dyDescent="0.25">
      <c r="A127" t="s">
        <v>222</v>
      </c>
      <c r="B127" t="s">
        <v>159</v>
      </c>
      <c r="C127" t="s">
        <v>160</v>
      </c>
      <c r="D127" t="s">
        <v>161</v>
      </c>
      <c r="E127" t="s">
        <v>162</v>
      </c>
      <c r="G127" t="s">
        <v>485</v>
      </c>
      <c r="H127" t="s">
        <v>280</v>
      </c>
      <c r="I127" t="s">
        <v>678</v>
      </c>
      <c r="J127" t="s">
        <v>486</v>
      </c>
      <c r="K127" t="s">
        <v>115</v>
      </c>
      <c r="L127">
        <v>700580440</v>
      </c>
      <c r="M127">
        <v>13.1</v>
      </c>
      <c r="N127">
        <v>41250</v>
      </c>
      <c r="O127">
        <v>1</v>
      </c>
      <c r="P127">
        <v>9.39</v>
      </c>
      <c r="Q127">
        <v>9.39</v>
      </c>
      <c r="R127">
        <v>84509000</v>
      </c>
      <c r="S127" s="2" t="s">
        <v>664</v>
      </c>
    </row>
    <row r="128" spans="1:19" x14ac:dyDescent="0.25">
      <c r="A128" t="s">
        <v>222</v>
      </c>
      <c r="B128" t="s">
        <v>159</v>
      </c>
      <c r="C128" t="s">
        <v>160</v>
      </c>
      <c r="D128" t="s">
        <v>161</v>
      </c>
      <c r="E128" t="s">
        <v>162</v>
      </c>
      <c r="G128" t="s">
        <v>487</v>
      </c>
      <c r="H128" t="s">
        <v>280</v>
      </c>
      <c r="I128" t="s">
        <v>678</v>
      </c>
      <c r="J128" t="s">
        <v>488</v>
      </c>
      <c r="K128" t="s">
        <v>115</v>
      </c>
      <c r="L128">
        <v>700580440</v>
      </c>
      <c r="M128">
        <v>14.1</v>
      </c>
      <c r="N128">
        <v>41250</v>
      </c>
      <c r="O128">
        <v>22</v>
      </c>
      <c r="P128">
        <v>6.68</v>
      </c>
      <c r="Q128">
        <v>146.96</v>
      </c>
      <c r="R128">
        <v>84509000</v>
      </c>
      <c r="S128" s="2" t="s">
        <v>664</v>
      </c>
    </row>
    <row r="129" spans="1:19" x14ac:dyDescent="0.25">
      <c r="A129" t="s">
        <v>222</v>
      </c>
      <c r="B129" t="s">
        <v>159</v>
      </c>
      <c r="C129" t="s">
        <v>160</v>
      </c>
      <c r="D129" t="s">
        <v>161</v>
      </c>
      <c r="E129" t="s">
        <v>162</v>
      </c>
      <c r="G129" t="s">
        <v>489</v>
      </c>
      <c r="H129" t="s">
        <v>490</v>
      </c>
      <c r="I129" t="s">
        <v>677</v>
      </c>
      <c r="J129" t="s">
        <v>491</v>
      </c>
      <c r="K129" t="s">
        <v>76</v>
      </c>
      <c r="L129">
        <v>700580440</v>
      </c>
      <c r="M129">
        <v>15.1</v>
      </c>
      <c r="N129">
        <v>41250</v>
      </c>
      <c r="O129">
        <v>2</v>
      </c>
      <c r="P129">
        <v>12.52</v>
      </c>
      <c r="Q129">
        <v>25.04</v>
      </c>
      <c r="R129">
        <v>84159000</v>
      </c>
      <c r="S129" t="s">
        <v>166</v>
      </c>
    </row>
    <row r="130" spans="1:19" x14ac:dyDescent="0.25">
      <c r="A130" t="s">
        <v>222</v>
      </c>
      <c r="B130" t="s">
        <v>159</v>
      </c>
      <c r="C130" t="s">
        <v>160</v>
      </c>
      <c r="D130" t="s">
        <v>161</v>
      </c>
      <c r="E130" t="s">
        <v>162</v>
      </c>
      <c r="G130" t="s">
        <v>492</v>
      </c>
      <c r="H130" t="s">
        <v>493</v>
      </c>
      <c r="I130" t="s">
        <v>675</v>
      </c>
      <c r="J130" t="s">
        <v>494</v>
      </c>
      <c r="K130" t="s">
        <v>116</v>
      </c>
      <c r="L130">
        <v>700580440</v>
      </c>
      <c r="M130">
        <v>16.100000000000001</v>
      </c>
      <c r="N130">
        <v>41250</v>
      </c>
      <c r="O130">
        <v>2</v>
      </c>
      <c r="P130">
        <v>10.65</v>
      </c>
      <c r="Q130">
        <v>21.3</v>
      </c>
      <c r="R130">
        <v>84189990</v>
      </c>
      <c r="S130" s="2" t="s">
        <v>664</v>
      </c>
    </row>
    <row r="131" spans="1:19" x14ac:dyDescent="0.25">
      <c r="A131" t="s">
        <v>222</v>
      </c>
      <c r="B131" t="s">
        <v>159</v>
      </c>
      <c r="C131" t="s">
        <v>160</v>
      </c>
      <c r="D131" t="s">
        <v>161</v>
      </c>
      <c r="E131" t="s">
        <v>162</v>
      </c>
      <c r="G131" t="s">
        <v>495</v>
      </c>
      <c r="H131" t="s">
        <v>496</v>
      </c>
      <c r="I131" t="s">
        <v>684</v>
      </c>
      <c r="J131" t="s">
        <v>497</v>
      </c>
      <c r="K131" t="s">
        <v>116</v>
      </c>
      <c r="L131">
        <v>700580440</v>
      </c>
      <c r="M131">
        <v>19.100000000000001</v>
      </c>
      <c r="N131">
        <v>41250</v>
      </c>
      <c r="O131">
        <v>2</v>
      </c>
      <c r="P131">
        <v>1.6</v>
      </c>
      <c r="Q131">
        <v>3.2</v>
      </c>
      <c r="R131">
        <v>84189990</v>
      </c>
      <c r="S131" s="2" t="s">
        <v>664</v>
      </c>
    </row>
    <row r="132" spans="1:19" x14ac:dyDescent="0.25">
      <c r="A132" t="s">
        <v>222</v>
      </c>
      <c r="B132" t="s">
        <v>159</v>
      </c>
      <c r="C132" t="s">
        <v>160</v>
      </c>
      <c r="D132" t="s">
        <v>161</v>
      </c>
      <c r="E132" t="s">
        <v>162</v>
      </c>
      <c r="G132" t="s">
        <v>498</v>
      </c>
      <c r="H132" t="s">
        <v>499</v>
      </c>
      <c r="I132" t="s">
        <v>670</v>
      </c>
      <c r="J132" t="s">
        <v>500</v>
      </c>
      <c r="K132" t="s">
        <v>116</v>
      </c>
      <c r="L132">
        <v>700580440</v>
      </c>
      <c r="M132">
        <v>20.100000000000001</v>
      </c>
      <c r="N132">
        <v>41250</v>
      </c>
      <c r="O132">
        <v>1</v>
      </c>
      <c r="P132">
        <v>7.11</v>
      </c>
      <c r="Q132">
        <v>7.11</v>
      </c>
      <c r="R132">
        <v>84189990</v>
      </c>
      <c r="S132" s="2" t="s">
        <v>664</v>
      </c>
    </row>
    <row r="133" spans="1:19" x14ac:dyDescent="0.25">
      <c r="A133" t="s">
        <v>222</v>
      </c>
      <c r="B133" t="s">
        <v>159</v>
      </c>
      <c r="C133" t="s">
        <v>160</v>
      </c>
      <c r="D133" t="s">
        <v>161</v>
      </c>
      <c r="E133" t="s">
        <v>162</v>
      </c>
      <c r="G133" t="s">
        <v>501</v>
      </c>
      <c r="H133" t="s">
        <v>502</v>
      </c>
      <c r="I133" t="s">
        <v>699</v>
      </c>
      <c r="J133" t="s">
        <v>503</v>
      </c>
      <c r="K133" t="s">
        <v>116</v>
      </c>
      <c r="L133">
        <v>700580440</v>
      </c>
      <c r="M133">
        <v>21.1</v>
      </c>
      <c r="N133">
        <v>41250</v>
      </c>
      <c r="O133">
        <v>1</v>
      </c>
      <c r="P133">
        <v>2.46</v>
      </c>
      <c r="Q133">
        <v>2.46</v>
      </c>
      <c r="R133">
        <v>84189990</v>
      </c>
      <c r="S133" s="2" t="s">
        <v>664</v>
      </c>
    </row>
    <row r="134" spans="1:19" x14ac:dyDescent="0.25">
      <c r="A134" t="s">
        <v>222</v>
      </c>
      <c r="B134" t="s">
        <v>159</v>
      </c>
      <c r="C134" t="s">
        <v>160</v>
      </c>
      <c r="D134" t="s">
        <v>161</v>
      </c>
      <c r="E134" t="s">
        <v>162</v>
      </c>
      <c r="G134" t="s">
        <v>504</v>
      </c>
      <c r="H134" t="s">
        <v>505</v>
      </c>
      <c r="I134" t="s">
        <v>716</v>
      </c>
      <c r="J134" t="s">
        <v>506</v>
      </c>
      <c r="K134" t="s">
        <v>115</v>
      </c>
      <c r="L134">
        <v>700580426</v>
      </c>
      <c r="M134">
        <v>13.1</v>
      </c>
      <c r="N134">
        <v>41236</v>
      </c>
      <c r="O134">
        <v>1</v>
      </c>
      <c r="P134">
        <v>5.98</v>
      </c>
      <c r="Q134">
        <v>5.98</v>
      </c>
      <c r="R134">
        <v>84509000</v>
      </c>
      <c r="S134" s="2" t="s">
        <v>664</v>
      </c>
    </row>
    <row r="135" spans="1:19" x14ac:dyDescent="0.25">
      <c r="A135" t="s">
        <v>222</v>
      </c>
      <c r="B135" t="s">
        <v>159</v>
      </c>
      <c r="C135" t="s">
        <v>160</v>
      </c>
      <c r="D135" t="s">
        <v>161</v>
      </c>
      <c r="E135" t="s">
        <v>162</v>
      </c>
      <c r="G135" t="s">
        <v>504</v>
      </c>
      <c r="H135" t="s">
        <v>505</v>
      </c>
      <c r="I135" t="s">
        <v>716</v>
      </c>
      <c r="J135" t="s">
        <v>506</v>
      </c>
      <c r="K135" t="s">
        <v>115</v>
      </c>
      <c r="L135">
        <v>700580426</v>
      </c>
      <c r="M135">
        <v>13.1</v>
      </c>
      <c r="N135">
        <v>41236</v>
      </c>
      <c r="O135">
        <v>1</v>
      </c>
      <c r="P135">
        <v>5.98</v>
      </c>
      <c r="Q135">
        <v>5.98</v>
      </c>
      <c r="R135">
        <v>84509000</v>
      </c>
      <c r="S135" s="2" t="s">
        <v>664</v>
      </c>
    </row>
    <row r="136" spans="1:19" x14ac:dyDescent="0.25">
      <c r="A136" t="s">
        <v>222</v>
      </c>
      <c r="B136" t="s">
        <v>159</v>
      </c>
      <c r="C136" t="s">
        <v>160</v>
      </c>
      <c r="D136" t="s">
        <v>161</v>
      </c>
      <c r="E136" t="s">
        <v>162</v>
      </c>
      <c r="G136" t="s">
        <v>507</v>
      </c>
      <c r="H136" t="s">
        <v>508</v>
      </c>
      <c r="I136" t="s">
        <v>728</v>
      </c>
      <c r="J136" t="s">
        <v>506</v>
      </c>
      <c r="K136" t="s">
        <v>115</v>
      </c>
      <c r="L136">
        <v>700580426</v>
      </c>
      <c r="M136">
        <v>29.1</v>
      </c>
      <c r="N136">
        <v>41236</v>
      </c>
      <c r="O136">
        <v>2</v>
      </c>
      <c r="P136">
        <v>12.84</v>
      </c>
      <c r="Q136">
        <v>25.68</v>
      </c>
      <c r="R136">
        <v>84509000</v>
      </c>
      <c r="S136" s="2" t="s">
        <v>664</v>
      </c>
    </row>
    <row r="137" spans="1:19" x14ac:dyDescent="0.25">
      <c r="A137" t="s">
        <v>222</v>
      </c>
      <c r="B137" t="s">
        <v>159</v>
      </c>
      <c r="C137" t="s">
        <v>160</v>
      </c>
      <c r="D137" t="s">
        <v>161</v>
      </c>
      <c r="E137" t="s">
        <v>162</v>
      </c>
      <c r="F137" t="s">
        <v>509</v>
      </c>
      <c r="G137" t="s">
        <v>510</v>
      </c>
      <c r="H137" t="s">
        <v>511</v>
      </c>
      <c r="I137" t="s">
        <v>667</v>
      </c>
      <c r="J137" t="s">
        <v>512</v>
      </c>
      <c r="K137" t="s">
        <v>76</v>
      </c>
      <c r="L137">
        <v>700580425</v>
      </c>
      <c r="M137">
        <v>11.1</v>
      </c>
      <c r="N137">
        <v>41235</v>
      </c>
      <c r="O137">
        <v>2</v>
      </c>
      <c r="P137">
        <v>112.98</v>
      </c>
      <c r="Q137">
        <v>225.96</v>
      </c>
      <c r="R137">
        <v>84159000</v>
      </c>
      <c r="S137" s="2" t="s">
        <v>664</v>
      </c>
    </row>
    <row r="138" spans="1:19" x14ac:dyDescent="0.25">
      <c r="A138" t="s">
        <v>222</v>
      </c>
      <c r="B138" t="s">
        <v>159</v>
      </c>
      <c r="C138" t="s">
        <v>160</v>
      </c>
      <c r="D138" t="s">
        <v>161</v>
      </c>
      <c r="E138" t="s">
        <v>162</v>
      </c>
      <c r="F138" t="s">
        <v>513</v>
      </c>
      <c r="G138" t="s">
        <v>514</v>
      </c>
      <c r="H138" t="s">
        <v>228</v>
      </c>
      <c r="I138" t="s">
        <v>690</v>
      </c>
      <c r="J138" t="s">
        <v>515</v>
      </c>
      <c r="K138" t="s">
        <v>118</v>
      </c>
      <c r="L138">
        <v>700580417</v>
      </c>
      <c r="M138">
        <v>5.0999999999999996</v>
      </c>
      <c r="N138">
        <v>41227</v>
      </c>
      <c r="O138">
        <v>1</v>
      </c>
      <c r="P138">
        <v>2.4</v>
      </c>
      <c r="Q138">
        <v>2.4</v>
      </c>
      <c r="R138">
        <v>85169000</v>
      </c>
      <c r="S138" s="2" t="s">
        <v>664</v>
      </c>
    </row>
    <row r="139" spans="1:19" x14ac:dyDescent="0.25">
      <c r="A139" t="s">
        <v>222</v>
      </c>
      <c r="B139" t="s">
        <v>159</v>
      </c>
      <c r="C139" t="s">
        <v>160</v>
      </c>
      <c r="D139" t="s">
        <v>161</v>
      </c>
      <c r="E139" t="s">
        <v>162</v>
      </c>
      <c r="G139" t="s">
        <v>516</v>
      </c>
      <c r="H139" t="s">
        <v>464</v>
      </c>
      <c r="I139" t="s">
        <v>673</v>
      </c>
      <c r="J139" t="s">
        <v>517</v>
      </c>
      <c r="K139" t="s">
        <v>115</v>
      </c>
      <c r="L139">
        <v>700580431</v>
      </c>
      <c r="M139">
        <v>1.1000000000000001</v>
      </c>
      <c r="N139">
        <v>41241</v>
      </c>
      <c r="O139">
        <v>6</v>
      </c>
      <c r="P139">
        <v>4.97</v>
      </c>
      <c r="Q139">
        <v>29.82</v>
      </c>
      <c r="R139">
        <v>84509000</v>
      </c>
      <c r="S139" t="s">
        <v>166</v>
      </c>
    </row>
    <row r="140" spans="1:19" x14ac:dyDescent="0.25">
      <c r="A140" t="s">
        <v>222</v>
      </c>
      <c r="B140" t="s">
        <v>159</v>
      </c>
      <c r="C140" t="s">
        <v>160</v>
      </c>
      <c r="D140" t="s">
        <v>161</v>
      </c>
      <c r="E140" t="s">
        <v>162</v>
      </c>
      <c r="G140" t="s">
        <v>518</v>
      </c>
      <c r="H140" t="s">
        <v>519</v>
      </c>
      <c r="I140" t="s">
        <v>712</v>
      </c>
      <c r="J140" t="s">
        <v>520</v>
      </c>
      <c r="K140" t="s">
        <v>118</v>
      </c>
      <c r="L140">
        <v>700580431</v>
      </c>
      <c r="M140">
        <v>4.0999999999999996</v>
      </c>
      <c r="N140">
        <v>41241</v>
      </c>
      <c r="O140">
        <v>1</v>
      </c>
      <c r="P140">
        <v>2.2599999999999998</v>
      </c>
      <c r="Q140">
        <v>2.2599999999999998</v>
      </c>
      <c r="R140">
        <v>85169000</v>
      </c>
      <c r="S140" s="2" t="s">
        <v>664</v>
      </c>
    </row>
    <row r="141" spans="1:19" x14ac:dyDescent="0.25">
      <c r="A141" t="s">
        <v>222</v>
      </c>
      <c r="B141" t="s">
        <v>159</v>
      </c>
      <c r="C141" t="s">
        <v>160</v>
      </c>
      <c r="D141" t="s">
        <v>161</v>
      </c>
      <c r="E141" t="s">
        <v>162</v>
      </c>
      <c r="G141" t="s">
        <v>521</v>
      </c>
      <c r="H141" t="s">
        <v>522</v>
      </c>
      <c r="I141" t="s">
        <v>683</v>
      </c>
      <c r="J141" t="s">
        <v>523</v>
      </c>
      <c r="K141" t="s">
        <v>116</v>
      </c>
      <c r="L141">
        <v>700580431</v>
      </c>
      <c r="M141">
        <v>8.1</v>
      </c>
      <c r="N141">
        <v>41241</v>
      </c>
      <c r="O141">
        <v>1</v>
      </c>
      <c r="P141">
        <v>1.41</v>
      </c>
      <c r="Q141">
        <v>1.41</v>
      </c>
      <c r="R141">
        <v>84189990</v>
      </c>
      <c r="S141" s="2" t="s">
        <v>664</v>
      </c>
    </row>
    <row r="142" spans="1:19" x14ac:dyDescent="0.25">
      <c r="A142" t="s">
        <v>222</v>
      </c>
      <c r="B142" t="s">
        <v>159</v>
      </c>
      <c r="C142" t="s">
        <v>160</v>
      </c>
      <c r="D142" t="s">
        <v>161</v>
      </c>
      <c r="E142" t="s">
        <v>162</v>
      </c>
      <c r="G142" t="s">
        <v>524</v>
      </c>
      <c r="H142" t="s">
        <v>525</v>
      </c>
      <c r="I142" t="s">
        <v>709</v>
      </c>
      <c r="J142" t="s">
        <v>526</v>
      </c>
      <c r="K142" t="s">
        <v>118</v>
      </c>
      <c r="L142">
        <v>700580431</v>
      </c>
      <c r="M142">
        <v>9.1</v>
      </c>
      <c r="N142">
        <v>41241</v>
      </c>
      <c r="O142">
        <v>2</v>
      </c>
      <c r="P142">
        <v>1.87</v>
      </c>
      <c r="Q142">
        <v>3.74</v>
      </c>
      <c r="R142">
        <v>85169000</v>
      </c>
      <c r="S142" s="2" t="s">
        <v>664</v>
      </c>
    </row>
    <row r="143" spans="1:19" x14ac:dyDescent="0.25">
      <c r="A143" t="s">
        <v>222</v>
      </c>
      <c r="B143" t="s">
        <v>159</v>
      </c>
      <c r="C143" t="s">
        <v>160</v>
      </c>
      <c r="D143" t="s">
        <v>161</v>
      </c>
      <c r="E143" t="s">
        <v>162</v>
      </c>
      <c r="G143" t="s">
        <v>527</v>
      </c>
      <c r="H143" t="s">
        <v>528</v>
      </c>
      <c r="I143" t="s">
        <v>693</v>
      </c>
      <c r="J143" t="s">
        <v>400</v>
      </c>
      <c r="K143" t="s">
        <v>118</v>
      </c>
      <c r="L143">
        <v>700580431</v>
      </c>
      <c r="M143">
        <v>11.1</v>
      </c>
      <c r="N143">
        <v>41241</v>
      </c>
      <c r="O143">
        <v>2</v>
      </c>
      <c r="P143">
        <v>11.47</v>
      </c>
      <c r="Q143">
        <v>22.94</v>
      </c>
      <c r="R143">
        <v>85169000</v>
      </c>
      <c r="S143" s="2" t="s">
        <v>664</v>
      </c>
    </row>
    <row r="144" spans="1:19" x14ac:dyDescent="0.25">
      <c r="A144" t="s">
        <v>222</v>
      </c>
      <c r="B144" t="s">
        <v>159</v>
      </c>
      <c r="C144" t="s">
        <v>160</v>
      </c>
      <c r="D144" t="s">
        <v>161</v>
      </c>
      <c r="E144" t="s">
        <v>162</v>
      </c>
      <c r="G144" t="s">
        <v>529</v>
      </c>
      <c r="H144" t="s">
        <v>175</v>
      </c>
      <c r="I144" t="s">
        <v>687</v>
      </c>
      <c r="J144" t="s">
        <v>530</v>
      </c>
      <c r="K144" t="s">
        <v>76</v>
      </c>
      <c r="L144">
        <v>700580431</v>
      </c>
      <c r="M144">
        <v>14.1</v>
      </c>
      <c r="N144">
        <v>41241</v>
      </c>
      <c r="O144">
        <v>1</v>
      </c>
      <c r="P144">
        <v>4.13</v>
      </c>
      <c r="Q144">
        <v>4.13</v>
      </c>
      <c r="R144">
        <v>84159000</v>
      </c>
      <c r="S144" s="2" t="s">
        <v>664</v>
      </c>
    </row>
    <row r="145" spans="1:19" x14ac:dyDescent="0.25">
      <c r="A145" t="s">
        <v>222</v>
      </c>
      <c r="B145" t="s">
        <v>159</v>
      </c>
      <c r="C145" t="s">
        <v>160</v>
      </c>
      <c r="D145" t="s">
        <v>161</v>
      </c>
      <c r="E145" t="s">
        <v>162</v>
      </c>
      <c r="G145" t="s">
        <v>531</v>
      </c>
      <c r="H145" t="s">
        <v>532</v>
      </c>
      <c r="I145" t="s">
        <v>704</v>
      </c>
      <c r="J145" t="s">
        <v>533</v>
      </c>
      <c r="K145" t="s">
        <v>116</v>
      </c>
      <c r="L145">
        <v>700580431</v>
      </c>
      <c r="M145">
        <v>16.100000000000001</v>
      </c>
      <c r="N145">
        <v>41241</v>
      </c>
      <c r="O145">
        <v>1</v>
      </c>
      <c r="P145">
        <v>12.14</v>
      </c>
      <c r="Q145">
        <v>12.14</v>
      </c>
      <c r="R145">
        <v>84189990</v>
      </c>
      <c r="S145" s="2" t="s">
        <v>664</v>
      </c>
    </row>
    <row r="146" spans="1:19" x14ac:dyDescent="0.25">
      <c r="A146" t="s">
        <v>222</v>
      </c>
      <c r="B146" t="s">
        <v>159</v>
      </c>
      <c r="C146" t="s">
        <v>160</v>
      </c>
      <c r="D146" t="s">
        <v>161</v>
      </c>
      <c r="E146" t="s">
        <v>162</v>
      </c>
      <c r="G146" t="s">
        <v>534</v>
      </c>
      <c r="H146" t="s">
        <v>232</v>
      </c>
      <c r="I146" t="s">
        <v>667</v>
      </c>
      <c r="J146" t="s">
        <v>535</v>
      </c>
      <c r="K146" t="s">
        <v>76</v>
      </c>
      <c r="L146">
        <v>700580431</v>
      </c>
      <c r="M146">
        <v>18.100000000000001</v>
      </c>
      <c r="N146">
        <v>41241</v>
      </c>
      <c r="O146">
        <v>2</v>
      </c>
      <c r="P146">
        <v>45.83</v>
      </c>
      <c r="Q146">
        <v>91.66</v>
      </c>
      <c r="R146">
        <v>84159000</v>
      </c>
      <c r="S146" s="2" t="s">
        <v>664</v>
      </c>
    </row>
    <row r="147" spans="1:19" x14ac:dyDescent="0.25">
      <c r="A147" t="s">
        <v>222</v>
      </c>
      <c r="B147" t="s">
        <v>159</v>
      </c>
      <c r="C147" t="s">
        <v>160</v>
      </c>
      <c r="D147" t="s">
        <v>161</v>
      </c>
      <c r="E147" t="s">
        <v>162</v>
      </c>
      <c r="G147" t="s">
        <v>536</v>
      </c>
      <c r="H147" t="s">
        <v>537</v>
      </c>
      <c r="I147" t="s">
        <v>710</v>
      </c>
      <c r="J147" t="s">
        <v>538</v>
      </c>
      <c r="K147" t="s">
        <v>118</v>
      </c>
      <c r="L147">
        <v>700580426</v>
      </c>
      <c r="M147">
        <v>1.1000000000000001</v>
      </c>
      <c r="N147">
        <v>41236</v>
      </c>
      <c r="O147">
        <v>2</v>
      </c>
      <c r="P147">
        <v>5.73</v>
      </c>
      <c r="Q147">
        <v>11.46</v>
      </c>
      <c r="R147">
        <v>85169000</v>
      </c>
      <c r="S147" s="2" t="s">
        <v>664</v>
      </c>
    </row>
    <row r="148" spans="1:19" x14ac:dyDescent="0.25">
      <c r="A148" t="s">
        <v>222</v>
      </c>
      <c r="B148" t="s">
        <v>159</v>
      </c>
      <c r="C148" t="s">
        <v>160</v>
      </c>
      <c r="D148" t="s">
        <v>161</v>
      </c>
      <c r="E148" t="s">
        <v>162</v>
      </c>
      <c r="G148" t="s">
        <v>539</v>
      </c>
      <c r="H148" t="s">
        <v>540</v>
      </c>
      <c r="I148" t="s">
        <v>692</v>
      </c>
      <c r="J148" t="s">
        <v>538</v>
      </c>
      <c r="K148" t="s">
        <v>118</v>
      </c>
      <c r="L148">
        <v>700580426</v>
      </c>
      <c r="M148">
        <v>30.1</v>
      </c>
      <c r="N148">
        <v>41236</v>
      </c>
      <c r="O148">
        <v>1</v>
      </c>
      <c r="P148">
        <v>0.55000000000000004</v>
      </c>
      <c r="Q148">
        <v>0.55000000000000004</v>
      </c>
      <c r="R148">
        <v>85169000</v>
      </c>
      <c r="S148" s="2" t="s">
        <v>664</v>
      </c>
    </row>
    <row r="149" spans="1:19" x14ac:dyDescent="0.25">
      <c r="A149" t="s">
        <v>222</v>
      </c>
      <c r="B149" t="s">
        <v>159</v>
      </c>
      <c r="C149" t="s">
        <v>160</v>
      </c>
      <c r="D149" t="s">
        <v>161</v>
      </c>
      <c r="E149" t="s">
        <v>162</v>
      </c>
      <c r="G149" t="s">
        <v>541</v>
      </c>
      <c r="H149" t="s">
        <v>309</v>
      </c>
      <c r="I149" t="s">
        <v>687</v>
      </c>
      <c r="J149" t="s">
        <v>542</v>
      </c>
      <c r="K149" t="s">
        <v>116</v>
      </c>
      <c r="L149">
        <v>700580426</v>
      </c>
      <c r="M149">
        <v>8.1</v>
      </c>
      <c r="N149">
        <v>41236</v>
      </c>
      <c r="O149">
        <v>2</v>
      </c>
      <c r="P149">
        <v>3.93</v>
      </c>
      <c r="Q149">
        <v>7.86</v>
      </c>
      <c r="R149">
        <v>84189990</v>
      </c>
      <c r="S149" s="2" t="s">
        <v>664</v>
      </c>
    </row>
    <row r="150" spans="1:19" x14ac:dyDescent="0.25">
      <c r="A150" t="s">
        <v>222</v>
      </c>
      <c r="B150" t="s">
        <v>159</v>
      </c>
      <c r="C150" t="s">
        <v>160</v>
      </c>
      <c r="D150" t="s">
        <v>161</v>
      </c>
      <c r="E150" t="s">
        <v>162</v>
      </c>
      <c r="G150" t="s">
        <v>543</v>
      </c>
      <c r="H150" t="s">
        <v>235</v>
      </c>
      <c r="I150" t="s">
        <v>699</v>
      </c>
      <c r="J150" t="s">
        <v>544</v>
      </c>
      <c r="K150" t="s">
        <v>116</v>
      </c>
      <c r="L150">
        <v>700580426</v>
      </c>
      <c r="M150">
        <v>9.1</v>
      </c>
      <c r="N150">
        <v>41236</v>
      </c>
      <c r="O150">
        <v>1</v>
      </c>
      <c r="P150">
        <v>3.13</v>
      </c>
      <c r="Q150">
        <v>3.13</v>
      </c>
      <c r="R150">
        <v>84189990</v>
      </c>
      <c r="S150" s="2" t="s">
        <v>664</v>
      </c>
    </row>
    <row r="151" spans="1:19" x14ac:dyDescent="0.25">
      <c r="A151" t="s">
        <v>222</v>
      </c>
      <c r="B151" t="s">
        <v>159</v>
      </c>
      <c r="C151" t="s">
        <v>160</v>
      </c>
      <c r="D151" t="s">
        <v>161</v>
      </c>
      <c r="E151" t="s">
        <v>162</v>
      </c>
      <c r="G151" t="s">
        <v>545</v>
      </c>
      <c r="H151" t="s">
        <v>546</v>
      </c>
      <c r="I151" t="s">
        <v>730</v>
      </c>
      <c r="J151" t="s">
        <v>182</v>
      </c>
      <c r="K151" t="s">
        <v>115</v>
      </c>
      <c r="L151">
        <v>700580426</v>
      </c>
      <c r="M151">
        <v>10.1</v>
      </c>
      <c r="N151">
        <v>41236</v>
      </c>
      <c r="O151">
        <v>1</v>
      </c>
      <c r="P151">
        <v>0.55000000000000004</v>
      </c>
      <c r="Q151">
        <v>0.55000000000000004</v>
      </c>
      <c r="R151">
        <v>84509000</v>
      </c>
      <c r="S151" s="2" t="s">
        <v>664</v>
      </c>
    </row>
    <row r="152" spans="1:19" x14ac:dyDescent="0.25">
      <c r="A152" t="s">
        <v>222</v>
      </c>
      <c r="B152" t="s">
        <v>159</v>
      </c>
      <c r="C152" t="s">
        <v>160</v>
      </c>
      <c r="D152" t="s">
        <v>161</v>
      </c>
      <c r="E152" t="s">
        <v>162</v>
      </c>
      <c r="G152" t="s">
        <v>547</v>
      </c>
      <c r="H152" t="s">
        <v>546</v>
      </c>
      <c r="I152" t="s">
        <v>730</v>
      </c>
      <c r="J152" t="s">
        <v>204</v>
      </c>
      <c r="K152" t="s">
        <v>115</v>
      </c>
      <c r="L152">
        <v>700580426</v>
      </c>
      <c r="M152">
        <v>11.1</v>
      </c>
      <c r="N152">
        <v>41236</v>
      </c>
      <c r="O152">
        <v>1</v>
      </c>
      <c r="P152">
        <v>0.59</v>
      </c>
      <c r="Q152">
        <v>0.59</v>
      </c>
      <c r="R152">
        <v>84509000</v>
      </c>
      <c r="S152" s="2" t="s">
        <v>664</v>
      </c>
    </row>
    <row r="153" spans="1:19" x14ac:dyDescent="0.25">
      <c r="A153" t="s">
        <v>222</v>
      </c>
      <c r="B153" t="s">
        <v>159</v>
      </c>
      <c r="C153" t="s">
        <v>160</v>
      </c>
      <c r="D153" t="s">
        <v>161</v>
      </c>
      <c r="E153" t="s">
        <v>162</v>
      </c>
      <c r="G153" t="s">
        <v>548</v>
      </c>
      <c r="H153" t="s">
        <v>172</v>
      </c>
      <c r="I153" t="s">
        <v>667</v>
      </c>
      <c r="J153" t="s">
        <v>549</v>
      </c>
      <c r="K153" t="s">
        <v>116</v>
      </c>
      <c r="L153">
        <v>700580426</v>
      </c>
      <c r="M153">
        <v>16.100000000000001</v>
      </c>
      <c r="N153">
        <v>41236</v>
      </c>
      <c r="O153">
        <v>1</v>
      </c>
      <c r="P153">
        <v>32.01</v>
      </c>
      <c r="Q153">
        <v>32.01</v>
      </c>
      <c r="R153">
        <v>84189990</v>
      </c>
      <c r="S153" s="2" t="s">
        <v>664</v>
      </c>
    </row>
    <row r="154" spans="1:19" x14ac:dyDescent="0.25">
      <c r="A154" t="s">
        <v>222</v>
      </c>
      <c r="B154" t="s">
        <v>159</v>
      </c>
      <c r="C154" t="s">
        <v>160</v>
      </c>
      <c r="D154" t="s">
        <v>161</v>
      </c>
      <c r="E154" t="s">
        <v>162</v>
      </c>
      <c r="G154" t="s">
        <v>550</v>
      </c>
      <c r="H154" t="s">
        <v>421</v>
      </c>
      <c r="I154" t="s">
        <v>714</v>
      </c>
      <c r="J154" t="s">
        <v>551</v>
      </c>
      <c r="K154" t="s">
        <v>120</v>
      </c>
      <c r="L154">
        <v>700580426</v>
      </c>
      <c r="M154">
        <v>17.100000000000001</v>
      </c>
      <c r="N154">
        <v>41236</v>
      </c>
      <c r="O154">
        <v>2</v>
      </c>
      <c r="P154">
        <v>22.5</v>
      </c>
      <c r="Q154">
        <v>45</v>
      </c>
      <c r="R154">
        <v>85299090</v>
      </c>
      <c r="S154" s="2" t="s">
        <v>664</v>
      </c>
    </row>
    <row r="155" spans="1:19" x14ac:dyDescent="0.25">
      <c r="A155" t="s">
        <v>222</v>
      </c>
      <c r="B155" t="s">
        <v>159</v>
      </c>
      <c r="C155" t="s">
        <v>160</v>
      </c>
      <c r="D155" t="s">
        <v>161</v>
      </c>
      <c r="E155" t="s">
        <v>162</v>
      </c>
      <c r="G155" t="s">
        <v>552</v>
      </c>
      <c r="H155" t="s">
        <v>421</v>
      </c>
      <c r="I155" t="s">
        <v>714</v>
      </c>
      <c r="J155" t="s">
        <v>553</v>
      </c>
      <c r="K155" t="s">
        <v>120</v>
      </c>
      <c r="L155">
        <v>700580426</v>
      </c>
      <c r="M155">
        <v>18.100000000000001</v>
      </c>
      <c r="N155">
        <v>41236</v>
      </c>
      <c r="O155">
        <v>2</v>
      </c>
      <c r="P155">
        <v>19.54</v>
      </c>
      <c r="Q155">
        <v>39.08</v>
      </c>
      <c r="R155">
        <v>85299090</v>
      </c>
      <c r="S155" s="2" t="s">
        <v>664</v>
      </c>
    </row>
    <row r="156" spans="1:19" x14ac:dyDescent="0.25">
      <c r="A156" t="s">
        <v>222</v>
      </c>
      <c r="B156" t="s">
        <v>159</v>
      </c>
      <c r="C156" t="s">
        <v>160</v>
      </c>
      <c r="D156" t="s">
        <v>161</v>
      </c>
      <c r="E156" t="s">
        <v>162</v>
      </c>
      <c r="G156" t="s">
        <v>554</v>
      </c>
      <c r="H156" t="s">
        <v>537</v>
      </c>
      <c r="I156" t="s">
        <v>710</v>
      </c>
      <c r="J156" t="s">
        <v>538</v>
      </c>
      <c r="K156" t="s">
        <v>118</v>
      </c>
      <c r="L156">
        <v>700580426</v>
      </c>
      <c r="M156">
        <v>23.1</v>
      </c>
      <c r="N156">
        <v>41236</v>
      </c>
      <c r="O156">
        <v>2</v>
      </c>
      <c r="P156">
        <v>5.51</v>
      </c>
      <c r="Q156">
        <v>11.02</v>
      </c>
      <c r="R156">
        <v>85169000</v>
      </c>
      <c r="S156" s="2" t="s">
        <v>664</v>
      </c>
    </row>
    <row r="157" spans="1:19" x14ac:dyDescent="0.25">
      <c r="A157" t="s">
        <v>222</v>
      </c>
      <c r="B157" t="s">
        <v>159</v>
      </c>
      <c r="C157" t="s">
        <v>160</v>
      </c>
      <c r="D157" t="s">
        <v>161</v>
      </c>
      <c r="E157" t="s">
        <v>162</v>
      </c>
      <c r="G157" t="s">
        <v>555</v>
      </c>
      <c r="H157" t="s">
        <v>556</v>
      </c>
      <c r="I157" t="s">
        <v>695</v>
      </c>
      <c r="J157" t="s">
        <v>538</v>
      </c>
      <c r="K157" t="s">
        <v>118</v>
      </c>
      <c r="L157">
        <v>700580426</v>
      </c>
      <c r="M157">
        <v>27.1</v>
      </c>
      <c r="N157">
        <v>41236</v>
      </c>
      <c r="O157">
        <v>1</v>
      </c>
      <c r="P157">
        <v>4.32</v>
      </c>
      <c r="Q157">
        <v>4.32</v>
      </c>
      <c r="R157">
        <v>85169000</v>
      </c>
      <c r="S157" s="2" t="s">
        <v>664</v>
      </c>
    </row>
    <row r="158" spans="1:19" x14ac:dyDescent="0.25">
      <c r="A158" t="s">
        <v>222</v>
      </c>
      <c r="B158" t="s">
        <v>159</v>
      </c>
      <c r="C158" t="s">
        <v>160</v>
      </c>
      <c r="D158" t="s">
        <v>161</v>
      </c>
      <c r="E158" t="s">
        <v>162</v>
      </c>
      <c r="G158" t="s">
        <v>557</v>
      </c>
      <c r="H158" t="s">
        <v>558</v>
      </c>
      <c r="I158" t="s">
        <v>677</v>
      </c>
      <c r="J158" t="s">
        <v>538</v>
      </c>
      <c r="K158" t="s">
        <v>118</v>
      </c>
      <c r="L158">
        <v>700580426</v>
      </c>
      <c r="M158">
        <v>33.1</v>
      </c>
      <c r="N158">
        <v>41236</v>
      </c>
      <c r="O158">
        <v>1</v>
      </c>
      <c r="P158">
        <v>23.66</v>
      </c>
      <c r="Q158">
        <v>23.66</v>
      </c>
      <c r="R158">
        <v>85169000</v>
      </c>
      <c r="S158" s="2" t="s">
        <v>664</v>
      </c>
    </row>
    <row r="159" spans="1:19" x14ac:dyDescent="0.25">
      <c r="A159" t="s">
        <v>222</v>
      </c>
      <c r="B159" t="s">
        <v>159</v>
      </c>
      <c r="C159" t="s">
        <v>160</v>
      </c>
      <c r="D159" t="s">
        <v>161</v>
      </c>
      <c r="E159" t="s">
        <v>162</v>
      </c>
      <c r="G159" t="s">
        <v>559</v>
      </c>
      <c r="H159" t="s">
        <v>560</v>
      </c>
      <c r="I159" t="s">
        <v>714</v>
      </c>
      <c r="J159" t="s">
        <v>561</v>
      </c>
      <c r="K159" t="s">
        <v>120</v>
      </c>
      <c r="L159">
        <v>700580426</v>
      </c>
      <c r="M159">
        <v>24.1</v>
      </c>
      <c r="N159">
        <v>41236</v>
      </c>
      <c r="O159">
        <v>1</v>
      </c>
      <c r="P159">
        <v>18.09</v>
      </c>
      <c r="Q159">
        <v>18.09</v>
      </c>
      <c r="R159">
        <v>85299090</v>
      </c>
      <c r="S159" s="2" t="s">
        <v>664</v>
      </c>
    </row>
    <row r="160" spans="1:19" x14ac:dyDescent="0.25">
      <c r="A160" t="s">
        <v>222</v>
      </c>
      <c r="B160" t="s">
        <v>159</v>
      </c>
      <c r="C160" t="s">
        <v>160</v>
      </c>
      <c r="D160" t="s">
        <v>161</v>
      </c>
      <c r="E160" t="s">
        <v>162</v>
      </c>
      <c r="G160" t="s">
        <v>562</v>
      </c>
      <c r="H160" t="s">
        <v>424</v>
      </c>
      <c r="I160" t="s">
        <v>689</v>
      </c>
      <c r="J160" t="s">
        <v>563</v>
      </c>
      <c r="K160" t="s">
        <v>117</v>
      </c>
      <c r="L160">
        <v>700580426</v>
      </c>
      <c r="M160">
        <v>26.1</v>
      </c>
      <c r="N160">
        <v>41236</v>
      </c>
      <c r="O160">
        <v>2</v>
      </c>
      <c r="P160">
        <v>4.42</v>
      </c>
      <c r="Q160">
        <v>8.84</v>
      </c>
      <c r="R160">
        <v>85229000</v>
      </c>
      <c r="S160" t="s">
        <v>166</v>
      </c>
    </row>
    <row r="161" spans="1:19" x14ac:dyDescent="0.25">
      <c r="A161" t="s">
        <v>222</v>
      </c>
      <c r="B161" t="s">
        <v>159</v>
      </c>
      <c r="C161" t="s">
        <v>160</v>
      </c>
      <c r="D161" t="s">
        <v>161</v>
      </c>
      <c r="E161" t="s">
        <v>162</v>
      </c>
      <c r="G161" t="s">
        <v>564</v>
      </c>
      <c r="H161" t="s">
        <v>268</v>
      </c>
      <c r="I161" t="s">
        <v>700</v>
      </c>
      <c r="J161" t="s">
        <v>565</v>
      </c>
      <c r="K161" t="s">
        <v>116</v>
      </c>
      <c r="L161">
        <v>700580426</v>
      </c>
      <c r="M161">
        <v>28.1</v>
      </c>
      <c r="N161">
        <v>41236</v>
      </c>
      <c r="O161">
        <v>3</v>
      </c>
      <c r="P161">
        <v>7.15</v>
      </c>
      <c r="Q161">
        <v>21.45</v>
      </c>
      <c r="R161">
        <v>84189990</v>
      </c>
      <c r="S161" s="2" t="s">
        <v>664</v>
      </c>
    </row>
    <row r="162" spans="1:19" x14ac:dyDescent="0.25">
      <c r="A162" t="s">
        <v>222</v>
      </c>
      <c r="B162" t="s">
        <v>159</v>
      </c>
      <c r="C162" t="s">
        <v>160</v>
      </c>
      <c r="D162" t="s">
        <v>161</v>
      </c>
      <c r="E162" t="s">
        <v>162</v>
      </c>
      <c r="G162" t="s">
        <v>566</v>
      </c>
      <c r="H162" t="s">
        <v>280</v>
      </c>
      <c r="I162" t="s">
        <v>678</v>
      </c>
      <c r="J162" t="s">
        <v>567</v>
      </c>
      <c r="K162" t="s">
        <v>115</v>
      </c>
      <c r="L162">
        <v>700580426</v>
      </c>
      <c r="M162">
        <v>31.1</v>
      </c>
      <c r="N162">
        <v>41236</v>
      </c>
      <c r="O162">
        <v>2</v>
      </c>
      <c r="P162">
        <v>6.83</v>
      </c>
      <c r="Q162">
        <v>13.66</v>
      </c>
      <c r="R162">
        <v>84509000</v>
      </c>
      <c r="S162" s="2" t="s">
        <v>664</v>
      </c>
    </row>
    <row r="163" spans="1:19" x14ac:dyDescent="0.25">
      <c r="A163" t="s">
        <v>222</v>
      </c>
      <c r="B163" t="s">
        <v>159</v>
      </c>
      <c r="C163" t="s">
        <v>160</v>
      </c>
      <c r="D163" t="s">
        <v>161</v>
      </c>
      <c r="E163" t="s">
        <v>162</v>
      </c>
      <c r="G163" t="s">
        <v>568</v>
      </c>
      <c r="H163" t="s">
        <v>280</v>
      </c>
      <c r="I163" t="s">
        <v>678</v>
      </c>
      <c r="J163" t="s">
        <v>569</v>
      </c>
      <c r="K163" t="s">
        <v>115</v>
      </c>
      <c r="L163">
        <v>700580426</v>
      </c>
      <c r="M163">
        <v>32.1</v>
      </c>
      <c r="N163">
        <v>41236</v>
      </c>
      <c r="O163">
        <v>2</v>
      </c>
      <c r="P163">
        <v>14.77</v>
      </c>
      <c r="Q163">
        <v>29.54</v>
      </c>
      <c r="R163">
        <v>84509000</v>
      </c>
      <c r="S163" s="2" t="s">
        <v>664</v>
      </c>
    </row>
    <row r="164" spans="1:19" x14ac:dyDescent="0.25">
      <c r="A164" t="s">
        <v>222</v>
      </c>
      <c r="B164" t="s">
        <v>159</v>
      </c>
      <c r="C164" t="s">
        <v>160</v>
      </c>
      <c r="D164" t="s">
        <v>161</v>
      </c>
      <c r="E164" t="s">
        <v>162</v>
      </c>
      <c r="G164" t="s">
        <v>570</v>
      </c>
      <c r="H164" t="s">
        <v>306</v>
      </c>
      <c r="I164" t="s">
        <v>722</v>
      </c>
      <c r="J164" t="s">
        <v>506</v>
      </c>
      <c r="K164" t="s">
        <v>115</v>
      </c>
      <c r="L164">
        <v>700580426</v>
      </c>
      <c r="M164">
        <v>37.1</v>
      </c>
      <c r="N164">
        <v>41236</v>
      </c>
      <c r="O164">
        <v>1</v>
      </c>
      <c r="P164">
        <v>2.23</v>
      </c>
      <c r="Q164">
        <v>2.23</v>
      </c>
      <c r="R164">
        <v>84509000</v>
      </c>
      <c r="S164" s="2" t="s">
        <v>664</v>
      </c>
    </row>
    <row r="165" spans="1:19" x14ac:dyDescent="0.25">
      <c r="A165" t="s">
        <v>222</v>
      </c>
      <c r="B165" t="s">
        <v>159</v>
      </c>
      <c r="C165" t="s">
        <v>160</v>
      </c>
      <c r="D165" t="s">
        <v>161</v>
      </c>
      <c r="E165" t="s">
        <v>162</v>
      </c>
      <c r="G165" t="s">
        <v>571</v>
      </c>
      <c r="H165" t="s">
        <v>238</v>
      </c>
      <c r="I165" t="s">
        <v>667</v>
      </c>
      <c r="J165" t="s">
        <v>572</v>
      </c>
      <c r="K165" t="s">
        <v>120</v>
      </c>
      <c r="L165">
        <v>700580430</v>
      </c>
      <c r="M165">
        <v>1.1000000000000001</v>
      </c>
      <c r="N165">
        <v>41240</v>
      </c>
      <c r="O165">
        <v>1</v>
      </c>
      <c r="P165">
        <v>27.14</v>
      </c>
      <c r="Q165">
        <v>27.14</v>
      </c>
      <c r="R165">
        <v>85299090</v>
      </c>
      <c r="S165" s="2" t="s">
        <v>664</v>
      </c>
    </row>
    <row r="166" spans="1:19" x14ac:dyDescent="0.25">
      <c r="A166" t="s">
        <v>222</v>
      </c>
      <c r="B166" t="s">
        <v>159</v>
      </c>
      <c r="C166" t="s">
        <v>160</v>
      </c>
      <c r="D166" t="s">
        <v>161</v>
      </c>
      <c r="E166" t="s">
        <v>162</v>
      </c>
      <c r="G166" t="s">
        <v>573</v>
      </c>
      <c r="H166" t="s">
        <v>66</v>
      </c>
      <c r="I166" t="s">
        <v>680</v>
      </c>
      <c r="J166" t="s">
        <v>574</v>
      </c>
      <c r="K166" t="s">
        <v>115</v>
      </c>
      <c r="L166">
        <v>700580430</v>
      </c>
      <c r="M166">
        <v>6.1</v>
      </c>
      <c r="N166">
        <v>41240</v>
      </c>
      <c r="O166">
        <v>1</v>
      </c>
      <c r="P166">
        <v>8.1300000000000008</v>
      </c>
      <c r="Q166">
        <v>8.1300000000000008</v>
      </c>
      <c r="R166">
        <v>84509000</v>
      </c>
      <c r="S166" s="2" t="s">
        <v>664</v>
      </c>
    </row>
    <row r="167" spans="1:19" x14ac:dyDescent="0.25">
      <c r="A167" t="s">
        <v>222</v>
      </c>
      <c r="B167" t="s">
        <v>159</v>
      </c>
      <c r="C167" t="s">
        <v>160</v>
      </c>
      <c r="D167" t="s">
        <v>161</v>
      </c>
      <c r="E167" t="s">
        <v>162</v>
      </c>
      <c r="G167" t="s">
        <v>575</v>
      </c>
      <c r="H167" t="s">
        <v>172</v>
      </c>
      <c r="I167" t="s">
        <v>667</v>
      </c>
      <c r="J167" t="s">
        <v>576</v>
      </c>
      <c r="K167" t="s">
        <v>116</v>
      </c>
      <c r="L167">
        <v>700580430</v>
      </c>
      <c r="M167">
        <v>11.1</v>
      </c>
      <c r="N167">
        <v>41240</v>
      </c>
      <c r="O167">
        <v>5</v>
      </c>
      <c r="P167">
        <v>29.49</v>
      </c>
      <c r="Q167">
        <v>147.44999999999999</v>
      </c>
      <c r="R167">
        <v>84189990</v>
      </c>
      <c r="S167" s="2" t="s">
        <v>664</v>
      </c>
    </row>
    <row r="168" spans="1:19" x14ac:dyDescent="0.25">
      <c r="A168" t="s">
        <v>222</v>
      </c>
      <c r="B168" t="s">
        <v>159</v>
      </c>
      <c r="C168" t="s">
        <v>160</v>
      </c>
      <c r="D168" t="s">
        <v>161</v>
      </c>
      <c r="E168" t="s">
        <v>162</v>
      </c>
      <c r="G168" t="s">
        <v>577</v>
      </c>
      <c r="H168" t="s">
        <v>578</v>
      </c>
      <c r="I168" t="s">
        <v>680</v>
      </c>
      <c r="J168" t="s">
        <v>579</v>
      </c>
      <c r="K168" t="s">
        <v>121</v>
      </c>
      <c r="L168">
        <v>700580421</v>
      </c>
      <c r="M168">
        <v>4.0999999999999996</v>
      </c>
      <c r="N168">
        <v>41231</v>
      </c>
      <c r="O168">
        <v>1</v>
      </c>
      <c r="P168">
        <v>7.4</v>
      </c>
      <c r="Q168">
        <v>7.4</v>
      </c>
      <c r="R168">
        <v>85087000</v>
      </c>
      <c r="S168" s="2" t="s">
        <v>664</v>
      </c>
    </row>
    <row r="169" spans="1:19" x14ac:dyDescent="0.25">
      <c r="A169" t="s">
        <v>580</v>
      </c>
      <c r="B169" t="s">
        <v>159</v>
      </c>
      <c r="C169" t="s">
        <v>160</v>
      </c>
      <c r="D169" t="s">
        <v>161</v>
      </c>
      <c r="E169" t="s">
        <v>162</v>
      </c>
      <c r="G169" t="s">
        <v>581</v>
      </c>
      <c r="H169" t="s">
        <v>582</v>
      </c>
      <c r="I169" t="s">
        <v>706</v>
      </c>
      <c r="J169" t="s">
        <v>583</v>
      </c>
      <c r="K169" t="s">
        <v>116</v>
      </c>
      <c r="L169">
        <v>700580426</v>
      </c>
      <c r="M169">
        <v>5.0999999999999996</v>
      </c>
      <c r="N169">
        <v>41236</v>
      </c>
      <c r="O169">
        <v>3</v>
      </c>
      <c r="P169">
        <v>21.51</v>
      </c>
      <c r="Q169">
        <v>64.53</v>
      </c>
      <c r="R169">
        <v>84189990</v>
      </c>
      <c r="S169" s="2" t="s">
        <v>664</v>
      </c>
    </row>
    <row r="170" spans="1:19" x14ac:dyDescent="0.25">
      <c r="A170" t="s">
        <v>580</v>
      </c>
      <c r="B170" t="s">
        <v>159</v>
      </c>
      <c r="C170" t="s">
        <v>160</v>
      </c>
      <c r="D170" t="s">
        <v>161</v>
      </c>
      <c r="E170" t="s">
        <v>162</v>
      </c>
      <c r="G170" t="s">
        <v>584</v>
      </c>
      <c r="H170" t="s">
        <v>585</v>
      </c>
      <c r="I170" t="s">
        <v>681</v>
      </c>
      <c r="J170" t="s">
        <v>586</v>
      </c>
      <c r="K170" t="s">
        <v>115</v>
      </c>
      <c r="L170">
        <v>700580426</v>
      </c>
      <c r="M170">
        <v>2.1</v>
      </c>
      <c r="N170">
        <v>41236</v>
      </c>
      <c r="O170">
        <v>1</v>
      </c>
      <c r="P170">
        <v>33.54</v>
      </c>
      <c r="Q170">
        <v>33.54</v>
      </c>
      <c r="R170">
        <v>84509000</v>
      </c>
      <c r="S170" s="2" t="s">
        <v>664</v>
      </c>
    </row>
    <row r="171" spans="1:19" x14ac:dyDescent="0.25">
      <c r="A171" t="s">
        <v>580</v>
      </c>
      <c r="B171" t="s">
        <v>159</v>
      </c>
      <c r="C171" t="s">
        <v>160</v>
      </c>
      <c r="D171" t="s">
        <v>161</v>
      </c>
      <c r="E171" t="s">
        <v>162</v>
      </c>
      <c r="G171" t="s">
        <v>587</v>
      </c>
      <c r="H171" t="s">
        <v>588</v>
      </c>
      <c r="I171" t="s">
        <v>682</v>
      </c>
      <c r="J171" t="s">
        <v>589</v>
      </c>
      <c r="K171" t="s">
        <v>115</v>
      </c>
      <c r="L171">
        <v>700580440</v>
      </c>
      <c r="M171">
        <v>18.100000000000001</v>
      </c>
      <c r="N171">
        <v>41250</v>
      </c>
      <c r="O171">
        <v>3</v>
      </c>
      <c r="P171">
        <v>12.56</v>
      </c>
      <c r="Q171">
        <v>37.68</v>
      </c>
      <c r="R171">
        <v>84509000</v>
      </c>
      <c r="S171" s="2" t="s">
        <v>664</v>
      </c>
    </row>
    <row r="172" spans="1:19" x14ac:dyDescent="0.25">
      <c r="A172" t="s">
        <v>580</v>
      </c>
      <c r="B172" t="s">
        <v>159</v>
      </c>
      <c r="C172" t="s">
        <v>160</v>
      </c>
      <c r="D172" t="s">
        <v>161</v>
      </c>
      <c r="E172" t="s">
        <v>162</v>
      </c>
      <c r="G172" t="s">
        <v>590</v>
      </c>
      <c r="H172" t="s">
        <v>591</v>
      </c>
      <c r="I172" t="s">
        <v>696</v>
      </c>
      <c r="J172" t="s">
        <v>592</v>
      </c>
      <c r="K172" t="s">
        <v>116</v>
      </c>
      <c r="L172">
        <v>700580440</v>
      </c>
      <c r="M172">
        <v>10.1</v>
      </c>
      <c r="N172">
        <v>41250</v>
      </c>
      <c r="O172">
        <v>1</v>
      </c>
      <c r="P172">
        <v>11.26</v>
      </c>
      <c r="Q172">
        <v>11.26</v>
      </c>
      <c r="R172">
        <v>84189990</v>
      </c>
      <c r="S172" s="2" t="s">
        <v>664</v>
      </c>
    </row>
    <row r="173" spans="1:19" x14ac:dyDescent="0.25">
      <c r="A173" t="s">
        <v>580</v>
      </c>
      <c r="B173" t="s">
        <v>159</v>
      </c>
      <c r="C173" t="s">
        <v>160</v>
      </c>
      <c r="D173" t="s">
        <v>161</v>
      </c>
      <c r="E173" t="s">
        <v>162</v>
      </c>
      <c r="G173" t="s">
        <v>593</v>
      </c>
      <c r="H173" t="s">
        <v>499</v>
      </c>
      <c r="I173" t="s">
        <v>670</v>
      </c>
      <c r="J173" t="s">
        <v>594</v>
      </c>
      <c r="K173" t="s">
        <v>116</v>
      </c>
      <c r="L173">
        <v>700580423</v>
      </c>
      <c r="M173">
        <v>4.0999999999999996</v>
      </c>
      <c r="N173">
        <v>41233</v>
      </c>
      <c r="O173">
        <v>1</v>
      </c>
      <c r="P173">
        <v>7.36</v>
      </c>
      <c r="Q173">
        <v>7.36</v>
      </c>
      <c r="R173">
        <v>84189990</v>
      </c>
      <c r="S173" s="2" t="s">
        <v>664</v>
      </c>
    </row>
    <row r="174" spans="1:19" x14ac:dyDescent="0.25">
      <c r="A174" t="s">
        <v>580</v>
      </c>
      <c r="B174" t="s">
        <v>159</v>
      </c>
      <c r="C174" t="s">
        <v>160</v>
      </c>
      <c r="D174" t="s">
        <v>161</v>
      </c>
      <c r="E174" t="s">
        <v>162</v>
      </c>
      <c r="G174" t="s">
        <v>595</v>
      </c>
      <c r="H174" t="s">
        <v>596</v>
      </c>
      <c r="I174" t="s">
        <v>735</v>
      </c>
      <c r="J174" t="s">
        <v>597</v>
      </c>
      <c r="K174" t="s">
        <v>116</v>
      </c>
      <c r="L174">
        <v>700580421</v>
      </c>
      <c r="M174">
        <v>2.1</v>
      </c>
      <c r="N174">
        <v>41231</v>
      </c>
      <c r="O174">
        <v>2</v>
      </c>
      <c r="P174">
        <v>13.8</v>
      </c>
      <c r="Q174">
        <v>27.6</v>
      </c>
      <c r="R174">
        <v>84189990</v>
      </c>
      <c r="S174" s="2" t="s">
        <v>664</v>
      </c>
    </row>
    <row r="175" spans="1:19" x14ac:dyDescent="0.25">
      <c r="A175" t="s">
        <v>580</v>
      </c>
      <c r="B175" t="s">
        <v>159</v>
      </c>
      <c r="C175" t="s">
        <v>160</v>
      </c>
      <c r="D175" t="s">
        <v>161</v>
      </c>
      <c r="E175" t="s">
        <v>162</v>
      </c>
      <c r="G175" t="s">
        <v>598</v>
      </c>
      <c r="H175" t="s">
        <v>599</v>
      </c>
      <c r="I175" t="s">
        <v>681</v>
      </c>
      <c r="J175" t="s">
        <v>600</v>
      </c>
      <c r="K175" t="s">
        <v>116</v>
      </c>
      <c r="L175">
        <v>700580422</v>
      </c>
      <c r="M175">
        <v>10.1</v>
      </c>
      <c r="N175">
        <v>41232</v>
      </c>
      <c r="O175">
        <v>2</v>
      </c>
      <c r="P175">
        <v>8.76</v>
      </c>
      <c r="Q175">
        <v>17.52</v>
      </c>
      <c r="R175">
        <v>84189990</v>
      </c>
      <c r="S175" s="2" t="s">
        <v>664</v>
      </c>
    </row>
    <row r="176" spans="1:19" x14ac:dyDescent="0.25">
      <c r="A176" t="s">
        <v>580</v>
      </c>
      <c r="B176" t="s">
        <v>159</v>
      </c>
      <c r="C176" t="s">
        <v>160</v>
      </c>
      <c r="D176" t="s">
        <v>161</v>
      </c>
      <c r="E176" t="s">
        <v>162</v>
      </c>
      <c r="G176" t="s">
        <v>601</v>
      </c>
      <c r="H176" t="s">
        <v>178</v>
      </c>
      <c r="I176" t="s">
        <v>698</v>
      </c>
      <c r="J176" t="s">
        <v>602</v>
      </c>
      <c r="K176" t="s">
        <v>116</v>
      </c>
      <c r="L176">
        <v>700580433</v>
      </c>
      <c r="M176">
        <v>4.0999999999999996</v>
      </c>
      <c r="N176">
        <v>41243</v>
      </c>
      <c r="O176">
        <v>1</v>
      </c>
      <c r="P176">
        <v>26.58</v>
      </c>
      <c r="Q176">
        <v>26.58</v>
      </c>
      <c r="R176">
        <v>84189990</v>
      </c>
      <c r="S176" s="2" t="s">
        <v>664</v>
      </c>
    </row>
    <row r="177" spans="1:19" x14ac:dyDescent="0.25">
      <c r="A177" t="s">
        <v>580</v>
      </c>
      <c r="B177" t="s">
        <v>159</v>
      </c>
      <c r="C177" t="s">
        <v>160</v>
      </c>
      <c r="D177" t="s">
        <v>161</v>
      </c>
      <c r="E177" t="s">
        <v>162</v>
      </c>
      <c r="G177" t="s">
        <v>603</v>
      </c>
      <c r="H177" t="s">
        <v>599</v>
      </c>
      <c r="I177" t="s">
        <v>681</v>
      </c>
      <c r="J177" t="s">
        <v>216</v>
      </c>
      <c r="K177" t="s">
        <v>116</v>
      </c>
      <c r="L177">
        <v>700580423</v>
      </c>
      <c r="M177">
        <v>32.1</v>
      </c>
      <c r="N177">
        <v>41233</v>
      </c>
      <c r="O177">
        <v>1</v>
      </c>
      <c r="P177">
        <v>2.23</v>
      </c>
      <c r="Q177">
        <v>2.23</v>
      </c>
      <c r="R177">
        <v>84189990</v>
      </c>
      <c r="S177" s="2" t="s">
        <v>664</v>
      </c>
    </row>
    <row r="178" spans="1:19" x14ac:dyDescent="0.25">
      <c r="A178" t="s">
        <v>580</v>
      </c>
      <c r="B178" t="s">
        <v>159</v>
      </c>
      <c r="C178" t="s">
        <v>160</v>
      </c>
      <c r="D178" t="s">
        <v>161</v>
      </c>
      <c r="E178" t="s">
        <v>162</v>
      </c>
      <c r="G178" t="s">
        <v>604</v>
      </c>
      <c r="H178" t="s">
        <v>605</v>
      </c>
      <c r="I178" t="s">
        <v>729</v>
      </c>
      <c r="J178" t="s">
        <v>606</v>
      </c>
      <c r="K178" t="s">
        <v>115</v>
      </c>
      <c r="L178">
        <v>700580420</v>
      </c>
      <c r="M178">
        <v>8.1</v>
      </c>
      <c r="N178">
        <v>41230</v>
      </c>
      <c r="O178">
        <v>1</v>
      </c>
      <c r="P178">
        <v>49.32</v>
      </c>
      <c r="Q178">
        <v>49.32</v>
      </c>
      <c r="R178">
        <v>84509000</v>
      </c>
      <c r="S178" s="2" t="s">
        <v>664</v>
      </c>
    </row>
    <row r="179" spans="1:19" x14ac:dyDescent="0.25">
      <c r="A179" t="s">
        <v>607</v>
      </c>
      <c r="B179" t="s">
        <v>159</v>
      </c>
      <c r="C179" t="s">
        <v>160</v>
      </c>
      <c r="D179" t="s">
        <v>161</v>
      </c>
      <c r="E179" t="s">
        <v>162</v>
      </c>
      <c r="F179" t="s">
        <v>183</v>
      </c>
      <c r="G179" t="s">
        <v>184</v>
      </c>
      <c r="H179" t="s">
        <v>178</v>
      </c>
      <c r="I179" t="s">
        <v>698</v>
      </c>
      <c r="J179" t="s">
        <v>185</v>
      </c>
      <c r="K179" t="s">
        <v>116</v>
      </c>
      <c r="L179">
        <v>700580430</v>
      </c>
      <c r="M179">
        <v>12.1</v>
      </c>
      <c r="N179">
        <v>41240</v>
      </c>
      <c r="O179">
        <v>1</v>
      </c>
      <c r="P179">
        <v>31.29</v>
      </c>
      <c r="Q179">
        <v>31.29</v>
      </c>
      <c r="R179">
        <v>84189990</v>
      </c>
      <c r="S179" s="2" t="s">
        <v>664</v>
      </c>
    </row>
    <row r="180" spans="1:19" x14ac:dyDescent="0.25">
      <c r="A180" t="s">
        <v>607</v>
      </c>
      <c r="B180" t="s">
        <v>159</v>
      </c>
      <c r="C180" t="s">
        <v>160</v>
      </c>
      <c r="D180" t="s">
        <v>161</v>
      </c>
      <c r="E180" t="s">
        <v>162</v>
      </c>
      <c r="G180" t="s">
        <v>608</v>
      </c>
      <c r="H180" t="s">
        <v>164</v>
      </c>
      <c r="I180" t="s">
        <v>697</v>
      </c>
      <c r="J180" t="s">
        <v>408</v>
      </c>
      <c r="K180" t="s">
        <v>116</v>
      </c>
      <c r="L180">
        <v>700580416</v>
      </c>
      <c r="M180">
        <v>13.1</v>
      </c>
      <c r="N180">
        <v>41226</v>
      </c>
      <c r="O180">
        <v>2</v>
      </c>
      <c r="P180">
        <v>14.88</v>
      </c>
      <c r="Q180">
        <v>29.76</v>
      </c>
      <c r="R180">
        <v>84189990</v>
      </c>
      <c r="S180" s="2" t="s">
        <v>664</v>
      </c>
    </row>
    <row r="181" spans="1:19" x14ac:dyDescent="0.25">
      <c r="A181" t="s">
        <v>607</v>
      </c>
      <c r="B181" t="s">
        <v>159</v>
      </c>
      <c r="C181" t="s">
        <v>160</v>
      </c>
      <c r="D181" t="s">
        <v>161</v>
      </c>
      <c r="E181" t="s">
        <v>162</v>
      </c>
      <c r="F181" t="s">
        <v>609</v>
      </c>
      <c r="G181" t="s">
        <v>610</v>
      </c>
      <c r="H181" t="s">
        <v>611</v>
      </c>
      <c r="I181" t="s">
        <v>668</v>
      </c>
      <c r="J181" t="s">
        <v>612</v>
      </c>
      <c r="K181" t="s">
        <v>115</v>
      </c>
      <c r="L181">
        <v>700580420</v>
      </c>
      <c r="M181">
        <v>16.100000000000001</v>
      </c>
      <c r="N181">
        <v>41230</v>
      </c>
      <c r="O181">
        <v>2</v>
      </c>
      <c r="P181">
        <v>23.22</v>
      </c>
      <c r="Q181">
        <v>46.44</v>
      </c>
      <c r="R181">
        <v>84509000</v>
      </c>
      <c r="S181" t="s">
        <v>166</v>
      </c>
    </row>
    <row r="182" spans="1:19" x14ac:dyDescent="0.25">
      <c r="A182" t="s">
        <v>607</v>
      </c>
      <c r="B182" t="s">
        <v>159</v>
      </c>
      <c r="C182" t="s">
        <v>160</v>
      </c>
      <c r="D182" t="s">
        <v>161</v>
      </c>
      <c r="E182" t="s">
        <v>162</v>
      </c>
      <c r="G182" t="s">
        <v>613</v>
      </c>
      <c r="H182" t="s">
        <v>614</v>
      </c>
      <c r="I182" t="s">
        <v>667</v>
      </c>
      <c r="J182" t="s">
        <v>615</v>
      </c>
      <c r="K182" t="s">
        <v>76</v>
      </c>
      <c r="L182">
        <v>700580440</v>
      </c>
      <c r="M182">
        <v>12.1</v>
      </c>
      <c r="N182">
        <v>41250</v>
      </c>
      <c r="O182">
        <v>1</v>
      </c>
      <c r="P182">
        <v>70.16</v>
      </c>
      <c r="Q182">
        <v>70.16</v>
      </c>
      <c r="R182">
        <v>84159000</v>
      </c>
      <c r="S182" s="2" t="s">
        <v>664</v>
      </c>
    </row>
    <row r="183" spans="1:19" x14ac:dyDescent="0.25">
      <c r="A183" t="s">
        <v>607</v>
      </c>
      <c r="B183" t="s">
        <v>159</v>
      </c>
      <c r="C183" t="s">
        <v>160</v>
      </c>
      <c r="D183" t="s">
        <v>161</v>
      </c>
      <c r="E183" t="s">
        <v>162</v>
      </c>
      <c r="G183" t="s">
        <v>616</v>
      </c>
      <c r="H183" t="s">
        <v>617</v>
      </c>
      <c r="I183" t="s">
        <v>731</v>
      </c>
      <c r="J183" t="s">
        <v>618</v>
      </c>
      <c r="K183" t="s">
        <v>115</v>
      </c>
      <c r="L183">
        <v>700580431</v>
      </c>
      <c r="M183">
        <v>6.1</v>
      </c>
      <c r="N183">
        <v>41241</v>
      </c>
      <c r="O183">
        <v>2</v>
      </c>
      <c r="P183">
        <v>3.67</v>
      </c>
      <c r="Q183">
        <v>7.34</v>
      </c>
      <c r="R183">
        <v>84509000</v>
      </c>
      <c r="S183" s="2" t="s">
        <v>664</v>
      </c>
    </row>
    <row r="184" spans="1:19" x14ac:dyDescent="0.25">
      <c r="A184" t="s">
        <v>607</v>
      </c>
      <c r="B184" t="s">
        <v>159</v>
      </c>
      <c r="C184" t="s">
        <v>160</v>
      </c>
      <c r="D184" t="s">
        <v>161</v>
      </c>
      <c r="E184" t="s">
        <v>162</v>
      </c>
      <c r="G184" t="s">
        <v>619</v>
      </c>
      <c r="H184" t="s">
        <v>620</v>
      </c>
      <c r="I184" t="s">
        <v>694</v>
      </c>
      <c r="J184" t="s">
        <v>538</v>
      </c>
      <c r="K184" t="s">
        <v>118</v>
      </c>
      <c r="L184">
        <v>700580426</v>
      </c>
      <c r="M184">
        <v>7.1</v>
      </c>
      <c r="N184">
        <v>41236</v>
      </c>
      <c r="O184">
        <v>1</v>
      </c>
      <c r="P184">
        <v>25.22</v>
      </c>
      <c r="Q184">
        <v>25.22</v>
      </c>
      <c r="R184">
        <v>85169000</v>
      </c>
      <c r="S184" s="2" t="s">
        <v>664</v>
      </c>
    </row>
    <row r="185" spans="1:19" x14ac:dyDescent="0.25">
      <c r="A185" t="s">
        <v>607</v>
      </c>
      <c r="B185" t="s">
        <v>159</v>
      </c>
      <c r="C185" t="s">
        <v>160</v>
      </c>
      <c r="D185" t="s">
        <v>161</v>
      </c>
      <c r="E185" t="s">
        <v>162</v>
      </c>
      <c r="G185" t="s">
        <v>621</v>
      </c>
      <c r="H185" t="s">
        <v>622</v>
      </c>
      <c r="I185" t="s">
        <v>732</v>
      </c>
      <c r="J185" t="s">
        <v>204</v>
      </c>
      <c r="K185" t="s">
        <v>115</v>
      </c>
      <c r="L185">
        <v>700580426</v>
      </c>
      <c r="M185">
        <v>25.1</v>
      </c>
      <c r="N185">
        <v>41236</v>
      </c>
      <c r="O185">
        <v>1</v>
      </c>
      <c r="P185">
        <v>14.34</v>
      </c>
      <c r="Q185">
        <v>14.34</v>
      </c>
      <c r="R185">
        <v>84509000</v>
      </c>
      <c r="S185" s="2" t="s">
        <v>664</v>
      </c>
    </row>
    <row r="186" spans="1:19" x14ac:dyDescent="0.25">
      <c r="A186" t="s">
        <v>607</v>
      </c>
      <c r="B186" t="s">
        <v>159</v>
      </c>
      <c r="C186" t="s">
        <v>160</v>
      </c>
      <c r="D186" t="s">
        <v>161</v>
      </c>
      <c r="E186" t="s">
        <v>162</v>
      </c>
      <c r="G186" t="s">
        <v>623</v>
      </c>
      <c r="H186" t="s">
        <v>624</v>
      </c>
      <c r="I186" t="s">
        <v>675</v>
      </c>
      <c r="J186" t="s">
        <v>625</v>
      </c>
      <c r="K186" t="s">
        <v>76</v>
      </c>
      <c r="L186">
        <v>700580426</v>
      </c>
      <c r="M186">
        <v>38.1</v>
      </c>
      <c r="N186">
        <v>41236</v>
      </c>
      <c r="O186">
        <v>2</v>
      </c>
      <c r="P186">
        <v>41.97</v>
      </c>
      <c r="Q186">
        <v>83.94</v>
      </c>
      <c r="R186">
        <v>84159000</v>
      </c>
      <c r="S186" s="2" t="s">
        <v>664</v>
      </c>
    </row>
    <row r="187" spans="1:19" x14ac:dyDescent="0.25">
      <c r="A187" t="s">
        <v>607</v>
      </c>
      <c r="B187" t="s">
        <v>159</v>
      </c>
      <c r="C187" t="s">
        <v>160</v>
      </c>
      <c r="D187" t="s">
        <v>161</v>
      </c>
      <c r="E187" t="s">
        <v>162</v>
      </c>
      <c r="G187" t="s">
        <v>626</v>
      </c>
      <c r="H187" t="s">
        <v>627</v>
      </c>
      <c r="I187" t="s">
        <v>681</v>
      </c>
      <c r="J187" t="s">
        <v>286</v>
      </c>
      <c r="K187" t="s">
        <v>116</v>
      </c>
      <c r="L187">
        <v>700580425</v>
      </c>
      <c r="M187">
        <v>8.1</v>
      </c>
      <c r="N187">
        <v>41235</v>
      </c>
      <c r="O187">
        <v>2</v>
      </c>
      <c r="P187">
        <v>6.23</v>
      </c>
      <c r="Q187">
        <v>12.46</v>
      </c>
      <c r="R187">
        <v>84189990</v>
      </c>
      <c r="S187" s="2" t="s">
        <v>664</v>
      </c>
    </row>
    <row r="188" spans="1:19" x14ac:dyDescent="0.25">
      <c r="A188" t="s">
        <v>607</v>
      </c>
      <c r="B188" t="s">
        <v>159</v>
      </c>
      <c r="C188" t="s">
        <v>160</v>
      </c>
      <c r="D188" t="s">
        <v>161</v>
      </c>
      <c r="E188" t="s">
        <v>162</v>
      </c>
      <c r="G188" t="s">
        <v>628</v>
      </c>
      <c r="H188" t="s">
        <v>629</v>
      </c>
      <c r="I188" t="s">
        <v>696</v>
      </c>
      <c r="J188" t="s">
        <v>630</v>
      </c>
      <c r="K188" t="s">
        <v>116</v>
      </c>
      <c r="L188">
        <v>700580437</v>
      </c>
      <c r="M188">
        <v>1.1000000000000001</v>
      </c>
      <c r="N188">
        <v>41247</v>
      </c>
      <c r="O188">
        <v>1</v>
      </c>
      <c r="P188">
        <v>8.76</v>
      </c>
      <c r="Q188">
        <v>8.76</v>
      </c>
      <c r="R188">
        <v>84189990</v>
      </c>
      <c r="S188" s="2" t="s">
        <v>664</v>
      </c>
    </row>
    <row r="189" spans="1:19" x14ac:dyDescent="0.25">
      <c r="A189" t="s">
        <v>607</v>
      </c>
      <c r="B189" t="s">
        <v>159</v>
      </c>
      <c r="C189" t="s">
        <v>160</v>
      </c>
      <c r="D189" t="s">
        <v>161</v>
      </c>
      <c r="E189" t="s">
        <v>162</v>
      </c>
      <c r="G189" t="s">
        <v>631</v>
      </c>
      <c r="H189" t="s">
        <v>632</v>
      </c>
      <c r="I189" t="s">
        <v>705</v>
      </c>
      <c r="J189" t="s">
        <v>633</v>
      </c>
      <c r="K189" t="s">
        <v>116</v>
      </c>
      <c r="L189">
        <v>700580425</v>
      </c>
      <c r="M189">
        <v>9.1</v>
      </c>
      <c r="N189">
        <v>41235</v>
      </c>
      <c r="O189">
        <v>1</v>
      </c>
      <c r="P189">
        <v>4.58</v>
      </c>
      <c r="Q189">
        <v>4.58</v>
      </c>
      <c r="R189">
        <v>84189990</v>
      </c>
      <c r="S189" s="2" t="s">
        <v>664</v>
      </c>
    </row>
    <row r="190" spans="1:19" x14ac:dyDescent="0.25">
      <c r="A190" t="s">
        <v>607</v>
      </c>
      <c r="B190" t="s">
        <v>159</v>
      </c>
      <c r="C190" t="s">
        <v>160</v>
      </c>
      <c r="D190" t="s">
        <v>161</v>
      </c>
      <c r="E190" t="s">
        <v>162</v>
      </c>
      <c r="G190">
        <v>5400377299</v>
      </c>
      <c r="H190" t="s">
        <v>78</v>
      </c>
      <c r="I190" t="s">
        <v>688</v>
      </c>
      <c r="J190" t="s">
        <v>634</v>
      </c>
      <c r="K190" t="s">
        <v>76</v>
      </c>
      <c r="L190">
        <v>700580433</v>
      </c>
      <c r="M190">
        <v>8.1</v>
      </c>
      <c r="N190">
        <v>41243</v>
      </c>
      <c r="O190">
        <v>2</v>
      </c>
      <c r="P190">
        <v>11.04</v>
      </c>
      <c r="Q190">
        <v>22.08</v>
      </c>
      <c r="R190">
        <v>84159000</v>
      </c>
      <c r="S190" s="2" t="s">
        <v>664</v>
      </c>
    </row>
    <row r="191" spans="1:19" x14ac:dyDescent="0.25">
      <c r="A191" t="s">
        <v>607</v>
      </c>
      <c r="B191" t="s">
        <v>159</v>
      </c>
      <c r="C191" t="s">
        <v>160</v>
      </c>
      <c r="D191" t="s">
        <v>161</v>
      </c>
      <c r="E191" t="s">
        <v>162</v>
      </c>
      <c r="G191" t="s">
        <v>635</v>
      </c>
      <c r="H191" t="s">
        <v>636</v>
      </c>
      <c r="I191" t="s">
        <v>718</v>
      </c>
      <c r="J191" t="s">
        <v>451</v>
      </c>
      <c r="K191" t="s">
        <v>115</v>
      </c>
      <c r="L191">
        <v>700580432</v>
      </c>
      <c r="M191">
        <v>1.1000000000000001</v>
      </c>
      <c r="N191">
        <v>41242</v>
      </c>
      <c r="O191">
        <v>2</v>
      </c>
      <c r="P191">
        <v>6.65</v>
      </c>
      <c r="Q191">
        <v>13.3</v>
      </c>
      <c r="R191">
        <v>84509000</v>
      </c>
      <c r="S191" s="2" t="s">
        <v>664</v>
      </c>
    </row>
    <row r="192" spans="1:19" x14ac:dyDescent="0.25">
      <c r="A192" t="s">
        <v>607</v>
      </c>
      <c r="B192" t="s">
        <v>159</v>
      </c>
      <c r="C192" t="s">
        <v>160</v>
      </c>
      <c r="D192" t="s">
        <v>161</v>
      </c>
      <c r="E192" t="s">
        <v>162</v>
      </c>
      <c r="G192" t="s">
        <v>637</v>
      </c>
      <c r="H192" t="s">
        <v>599</v>
      </c>
      <c r="I192" t="s">
        <v>681</v>
      </c>
      <c r="J192" t="s">
        <v>638</v>
      </c>
      <c r="K192" t="s">
        <v>116</v>
      </c>
      <c r="L192">
        <v>700580426</v>
      </c>
      <c r="M192">
        <v>39.1</v>
      </c>
      <c r="N192">
        <v>41236</v>
      </c>
      <c r="O192">
        <v>1</v>
      </c>
      <c r="P192">
        <v>11.88</v>
      </c>
      <c r="Q192">
        <v>11.88</v>
      </c>
      <c r="R192">
        <v>84189990</v>
      </c>
      <c r="S192" s="2" t="s">
        <v>664</v>
      </c>
    </row>
    <row r="193" spans="1:19" x14ac:dyDescent="0.25">
      <c r="A193" t="s">
        <v>607</v>
      </c>
      <c r="B193" t="s">
        <v>159</v>
      </c>
      <c r="C193" t="s">
        <v>160</v>
      </c>
      <c r="D193" t="s">
        <v>161</v>
      </c>
      <c r="E193" t="s">
        <v>162</v>
      </c>
      <c r="G193" t="s">
        <v>639</v>
      </c>
      <c r="H193" t="s">
        <v>268</v>
      </c>
      <c r="I193" t="s">
        <v>700</v>
      </c>
      <c r="J193" t="s">
        <v>640</v>
      </c>
      <c r="K193" t="s">
        <v>116</v>
      </c>
      <c r="L193">
        <v>700580424</v>
      </c>
      <c r="M193">
        <v>6.1</v>
      </c>
      <c r="N193">
        <v>41234</v>
      </c>
      <c r="O193">
        <v>1</v>
      </c>
      <c r="P193">
        <v>17.87</v>
      </c>
      <c r="Q193">
        <v>17.87</v>
      </c>
      <c r="R193">
        <v>84189990</v>
      </c>
      <c r="S193" s="2" t="s">
        <v>664</v>
      </c>
    </row>
    <row r="194" spans="1:19" x14ac:dyDescent="0.25">
      <c r="A194" t="s">
        <v>607</v>
      </c>
      <c r="B194" t="s">
        <v>159</v>
      </c>
      <c r="C194" t="s">
        <v>160</v>
      </c>
      <c r="D194" t="s">
        <v>161</v>
      </c>
      <c r="E194" t="s">
        <v>162</v>
      </c>
      <c r="G194" t="s">
        <v>641</v>
      </c>
      <c r="H194" t="s">
        <v>178</v>
      </c>
      <c r="I194" t="s">
        <v>698</v>
      </c>
      <c r="J194" t="s">
        <v>642</v>
      </c>
      <c r="K194" t="s">
        <v>116</v>
      </c>
      <c r="L194">
        <v>700580423</v>
      </c>
      <c r="M194">
        <v>34.1</v>
      </c>
      <c r="N194">
        <v>41233</v>
      </c>
      <c r="O194">
        <v>1</v>
      </c>
      <c r="P194">
        <v>33.229999999999997</v>
      </c>
      <c r="Q194">
        <v>33.229999999999997</v>
      </c>
      <c r="R194">
        <v>84189990</v>
      </c>
      <c r="S194" s="2" t="s">
        <v>664</v>
      </c>
    </row>
    <row r="195" spans="1:19" x14ac:dyDescent="0.25">
      <c r="A195" t="s">
        <v>607</v>
      </c>
      <c r="B195" t="s">
        <v>159</v>
      </c>
      <c r="C195" t="s">
        <v>160</v>
      </c>
      <c r="D195" t="s">
        <v>161</v>
      </c>
      <c r="E195" t="s">
        <v>162</v>
      </c>
      <c r="G195" t="s">
        <v>643</v>
      </c>
      <c r="H195" t="s">
        <v>285</v>
      </c>
      <c r="I195" t="s">
        <v>672</v>
      </c>
      <c r="J195" t="s">
        <v>169</v>
      </c>
      <c r="K195" t="s">
        <v>116</v>
      </c>
      <c r="L195">
        <v>700580423</v>
      </c>
      <c r="M195">
        <v>12.1</v>
      </c>
      <c r="N195">
        <v>41233</v>
      </c>
      <c r="O195">
        <v>2</v>
      </c>
      <c r="P195">
        <v>5.15</v>
      </c>
      <c r="Q195">
        <v>10.3</v>
      </c>
      <c r="R195">
        <v>84189990</v>
      </c>
      <c r="S195" s="2" t="s">
        <v>664</v>
      </c>
    </row>
    <row r="196" spans="1:19" x14ac:dyDescent="0.25">
      <c r="A196" t="s">
        <v>607</v>
      </c>
      <c r="B196" t="s">
        <v>159</v>
      </c>
      <c r="C196" t="s">
        <v>160</v>
      </c>
      <c r="D196" t="s">
        <v>161</v>
      </c>
      <c r="E196" t="s">
        <v>162</v>
      </c>
      <c r="G196" t="s">
        <v>644</v>
      </c>
      <c r="H196" t="s">
        <v>645</v>
      </c>
      <c r="I196" t="s">
        <v>676</v>
      </c>
      <c r="J196" t="s">
        <v>646</v>
      </c>
      <c r="K196" t="s">
        <v>116</v>
      </c>
      <c r="L196">
        <v>700580422</v>
      </c>
      <c r="M196">
        <v>11.1</v>
      </c>
      <c r="N196">
        <v>41232</v>
      </c>
      <c r="O196">
        <v>1</v>
      </c>
      <c r="P196">
        <v>12.32</v>
      </c>
      <c r="Q196">
        <v>12.32</v>
      </c>
      <c r="R196">
        <v>84189990</v>
      </c>
      <c r="S196" s="2" t="s">
        <v>664</v>
      </c>
    </row>
    <row r="197" spans="1:19" x14ac:dyDescent="0.25">
      <c r="A197" t="s">
        <v>607</v>
      </c>
      <c r="B197" t="s">
        <v>159</v>
      </c>
      <c r="C197" t="s">
        <v>160</v>
      </c>
      <c r="D197" t="s">
        <v>161</v>
      </c>
      <c r="E197" t="s">
        <v>162</v>
      </c>
      <c r="G197" t="s">
        <v>647</v>
      </c>
      <c r="H197" t="s">
        <v>285</v>
      </c>
      <c r="I197" t="s">
        <v>672</v>
      </c>
      <c r="J197" t="s">
        <v>648</v>
      </c>
      <c r="K197" t="s">
        <v>116</v>
      </c>
      <c r="L197">
        <v>700580425</v>
      </c>
      <c r="M197">
        <v>1.1000000000000001</v>
      </c>
      <c r="N197">
        <v>41235</v>
      </c>
      <c r="O197">
        <v>2</v>
      </c>
      <c r="P197">
        <v>12.1</v>
      </c>
      <c r="Q197">
        <v>24.2</v>
      </c>
      <c r="R197">
        <v>84189990</v>
      </c>
      <c r="S197" s="2" t="s">
        <v>664</v>
      </c>
    </row>
    <row r="198" spans="1:19" x14ac:dyDescent="0.25">
      <c r="A198" t="s">
        <v>607</v>
      </c>
      <c r="B198" t="s">
        <v>159</v>
      </c>
      <c r="C198" t="s">
        <v>160</v>
      </c>
      <c r="D198" t="s">
        <v>161</v>
      </c>
      <c r="E198" t="s">
        <v>162</v>
      </c>
      <c r="G198" t="s">
        <v>649</v>
      </c>
      <c r="H198" t="s">
        <v>285</v>
      </c>
      <c r="I198" t="s">
        <v>672</v>
      </c>
      <c r="J198" t="s">
        <v>650</v>
      </c>
      <c r="K198" t="s">
        <v>116</v>
      </c>
      <c r="L198">
        <v>700580422</v>
      </c>
      <c r="M198">
        <v>5.0999999999999996</v>
      </c>
      <c r="N198">
        <v>41232</v>
      </c>
      <c r="O198">
        <v>1</v>
      </c>
      <c r="P198">
        <v>4.18</v>
      </c>
      <c r="Q198">
        <v>4.18</v>
      </c>
      <c r="R198">
        <v>84189990</v>
      </c>
      <c r="S198" s="2" t="s">
        <v>664</v>
      </c>
    </row>
    <row r="199" spans="1:19" x14ac:dyDescent="0.25">
      <c r="A199" t="s">
        <v>607</v>
      </c>
      <c r="B199" t="s">
        <v>159</v>
      </c>
      <c r="C199" t="s">
        <v>160</v>
      </c>
      <c r="D199" t="s">
        <v>161</v>
      </c>
      <c r="E199" t="s">
        <v>162</v>
      </c>
      <c r="G199" t="s">
        <v>651</v>
      </c>
      <c r="H199" t="s">
        <v>652</v>
      </c>
      <c r="I199" t="s">
        <v>711</v>
      </c>
      <c r="J199" t="s">
        <v>653</v>
      </c>
      <c r="K199" t="s">
        <v>118</v>
      </c>
      <c r="L199">
        <v>700580431</v>
      </c>
      <c r="M199">
        <v>10.1</v>
      </c>
      <c r="N199">
        <v>41241</v>
      </c>
      <c r="O199">
        <v>2</v>
      </c>
      <c r="P199">
        <v>23.49</v>
      </c>
      <c r="Q199">
        <v>46.98</v>
      </c>
      <c r="R199">
        <v>85169000</v>
      </c>
      <c r="S199" s="2" t="s">
        <v>664</v>
      </c>
    </row>
    <row r="200" spans="1:19" x14ac:dyDescent="0.25">
      <c r="A200" t="s">
        <v>607</v>
      </c>
      <c r="B200" t="s">
        <v>159</v>
      </c>
      <c r="C200" t="s">
        <v>160</v>
      </c>
      <c r="D200" t="s">
        <v>161</v>
      </c>
      <c r="E200" t="s">
        <v>162</v>
      </c>
      <c r="G200" t="s">
        <v>654</v>
      </c>
      <c r="H200" t="s">
        <v>655</v>
      </c>
      <c r="I200" t="s">
        <v>698</v>
      </c>
      <c r="J200" t="s">
        <v>656</v>
      </c>
      <c r="K200" t="s">
        <v>116</v>
      </c>
      <c r="L200">
        <v>700580423</v>
      </c>
      <c r="M200">
        <v>29.1</v>
      </c>
      <c r="N200">
        <v>41233</v>
      </c>
      <c r="O200">
        <v>1</v>
      </c>
      <c r="P200">
        <v>66.47</v>
      </c>
      <c r="Q200">
        <v>66.47</v>
      </c>
      <c r="R200">
        <v>84189990</v>
      </c>
      <c r="S200" s="2" t="s">
        <v>664</v>
      </c>
    </row>
    <row r="201" spans="1:19" x14ac:dyDescent="0.25">
      <c r="A201" t="s">
        <v>607</v>
      </c>
      <c r="B201" t="s">
        <v>159</v>
      </c>
      <c r="C201" t="s">
        <v>160</v>
      </c>
      <c r="D201" t="s">
        <v>161</v>
      </c>
      <c r="E201" t="s">
        <v>162</v>
      </c>
      <c r="G201" t="s">
        <v>657</v>
      </c>
      <c r="H201" t="s">
        <v>268</v>
      </c>
      <c r="I201" t="s">
        <v>672</v>
      </c>
      <c r="J201" t="s">
        <v>658</v>
      </c>
      <c r="K201" t="s">
        <v>116</v>
      </c>
      <c r="L201">
        <v>700580423</v>
      </c>
      <c r="M201">
        <v>25.1</v>
      </c>
      <c r="N201">
        <v>41233</v>
      </c>
      <c r="O201">
        <v>2</v>
      </c>
      <c r="P201">
        <v>9.25</v>
      </c>
      <c r="Q201">
        <v>18.5</v>
      </c>
      <c r="R201">
        <v>84189990</v>
      </c>
      <c r="S201" s="2" t="s">
        <v>664</v>
      </c>
    </row>
    <row r="202" spans="1:19" x14ac:dyDescent="0.25">
      <c r="A202" t="s">
        <v>607</v>
      </c>
      <c r="B202" t="s">
        <v>159</v>
      </c>
      <c r="C202" t="s">
        <v>160</v>
      </c>
      <c r="D202" t="s">
        <v>161</v>
      </c>
      <c r="E202" t="s">
        <v>162</v>
      </c>
      <c r="G202" t="s">
        <v>659</v>
      </c>
      <c r="H202" t="s">
        <v>660</v>
      </c>
      <c r="I202" t="s">
        <v>669</v>
      </c>
      <c r="J202" t="s">
        <v>538</v>
      </c>
      <c r="K202" t="s">
        <v>118</v>
      </c>
      <c r="L202">
        <v>700580426</v>
      </c>
      <c r="M202">
        <v>20.100000000000001</v>
      </c>
      <c r="N202">
        <v>41236</v>
      </c>
      <c r="O202">
        <v>2</v>
      </c>
      <c r="P202">
        <v>27.26</v>
      </c>
      <c r="Q202">
        <v>54.52</v>
      </c>
      <c r="R202">
        <v>85169000</v>
      </c>
      <c r="S202" s="2" t="s">
        <v>664</v>
      </c>
    </row>
    <row r="203" spans="1:19" x14ac:dyDescent="0.25">
      <c r="A203" t="s">
        <v>607</v>
      </c>
      <c r="B203" t="s">
        <v>159</v>
      </c>
      <c r="C203" t="s">
        <v>160</v>
      </c>
      <c r="D203" t="s">
        <v>161</v>
      </c>
      <c r="E203" t="s">
        <v>162</v>
      </c>
      <c r="G203" t="s">
        <v>661</v>
      </c>
      <c r="H203" t="s">
        <v>622</v>
      </c>
      <c r="I203" t="s">
        <v>672</v>
      </c>
      <c r="J203" t="s">
        <v>662</v>
      </c>
      <c r="K203" t="s">
        <v>115</v>
      </c>
      <c r="L203">
        <v>700580421</v>
      </c>
      <c r="M203">
        <v>8.1</v>
      </c>
      <c r="N203">
        <v>41231</v>
      </c>
      <c r="O203">
        <v>1</v>
      </c>
      <c r="P203">
        <v>20.94</v>
      </c>
      <c r="Q203">
        <v>20.94</v>
      </c>
      <c r="R203">
        <v>84509000</v>
      </c>
      <c r="S203" s="2" t="s">
        <v>664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8"/>
  <sheetViews>
    <sheetView workbookViewId="0">
      <selection activeCell="A17" sqref="A17"/>
    </sheetView>
  </sheetViews>
  <sheetFormatPr defaultRowHeight="13.2" x14ac:dyDescent="0.25"/>
  <cols>
    <col min="1" max="1" width="62.33203125" bestFit="1" customWidth="1"/>
  </cols>
  <sheetData>
    <row r="1" spans="1:1" ht="30.75" customHeight="1" x14ac:dyDescent="0.25">
      <c r="A1" t="s">
        <v>49</v>
      </c>
    </row>
    <row r="2" spans="1:1" ht="30.75" customHeight="1" x14ac:dyDescent="0.25">
      <c r="A2" s="2" t="s">
        <v>51</v>
      </c>
    </row>
    <row r="3" spans="1:1" ht="30.75" customHeight="1" x14ac:dyDescent="0.25">
      <c r="A3" s="2" t="s">
        <v>52</v>
      </c>
    </row>
    <row r="4" spans="1:1" ht="30.75" customHeight="1" x14ac:dyDescent="0.25"/>
    <row r="5" spans="1:1" ht="30.75" customHeight="1" x14ac:dyDescent="0.25">
      <c r="A5" s="2" t="s">
        <v>53</v>
      </c>
    </row>
    <row r="6" spans="1:1" ht="30.75" customHeight="1" x14ac:dyDescent="0.25">
      <c r="A6" s="2" t="s">
        <v>54</v>
      </c>
    </row>
    <row r="7" spans="1:1" ht="30.75" customHeight="1" x14ac:dyDescent="0.25">
      <c r="A7" s="2" t="s">
        <v>55</v>
      </c>
    </row>
    <row r="8" spans="1:1" ht="30.75" customHeight="1" x14ac:dyDescent="0.25">
      <c r="A8" s="2" t="s">
        <v>56</v>
      </c>
    </row>
  </sheetData>
  <pageMargins left="0.7" right="0.7" top="0.75" bottom="0.75" header="0.3" footer="0.3"/>
  <headerFooter>
    <oddHeader>&amp;C&amp;"Calibri"&amp;12&amp;K000000 LGE Internal Use Only&amp;1#_x000D_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R5"/>
  <sheetViews>
    <sheetView workbookViewId="0">
      <selection activeCell="C22" sqref="C22"/>
    </sheetView>
  </sheetViews>
  <sheetFormatPr defaultRowHeight="13.2" x14ac:dyDescent="0.25"/>
  <cols>
    <col min="1" max="1" width="14.6640625" bestFit="1" customWidth="1"/>
    <col min="2" max="2" width="9.33203125" bestFit="1" customWidth="1"/>
    <col min="3" max="3" width="31.6640625" bestFit="1" customWidth="1"/>
    <col min="4" max="4" width="12.44140625" bestFit="1" customWidth="1"/>
    <col min="5" max="5" width="14.33203125" bestFit="1" customWidth="1"/>
    <col min="6" max="6" width="16.33203125" bestFit="1" customWidth="1"/>
    <col min="7" max="7" width="11" bestFit="1" customWidth="1"/>
    <col min="8" max="8" width="44.44140625" bestFit="1" customWidth="1"/>
    <col min="9" max="9" width="25.109375" bestFit="1" customWidth="1"/>
    <col min="10" max="10" width="8" bestFit="1" customWidth="1"/>
    <col min="11" max="11" width="10" bestFit="1" customWidth="1"/>
    <col min="12" max="12" width="8" bestFit="1" customWidth="1"/>
    <col min="13" max="13" width="12.5546875" bestFit="1" customWidth="1"/>
    <col min="14" max="14" width="8.5546875" bestFit="1" customWidth="1"/>
    <col min="15" max="15" width="7.5546875" bestFit="1" customWidth="1"/>
    <col min="16" max="16" width="8" bestFit="1" customWidth="1"/>
    <col min="17" max="17" width="9" bestFit="1" customWidth="1"/>
    <col min="18" max="18" width="8.44140625" bestFit="1" customWidth="1"/>
  </cols>
  <sheetData>
    <row r="1" spans="1:18" ht="13.8" thickBot="1" x14ac:dyDescent="0.3">
      <c r="A1" s="20" t="s">
        <v>24</v>
      </c>
      <c r="B1" s="20" t="s">
        <v>25</v>
      </c>
      <c r="C1" s="20" t="s">
        <v>26</v>
      </c>
      <c r="D1" s="20" t="s">
        <v>27</v>
      </c>
      <c r="E1" s="20" t="s">
        <v>28</v>
      </c>
      <c r="F1" s="20" t="s">
        <v>57</v>
      </c>
      <c r="G1" s="20" t="s">
        <v>29</v>
      </c>
      <c r="H1" s="20" t="s">
        <v>30</v>
      </c>
      <c r="I1" s="20" t="s">
        <v>58</v>
      </c>
      <c r="J1" s="20" t="s">
        <v>31</v>
      </c>
      <c r="K1" s="20" t="s">
        <v>32</v>
      </c>
      <c r="L1" s="20" t="s">
        <v>33</v>
      </c>
      <c r="M1" s="20" t="s">
        <v>71</v>
      </c>
      <c r="N1" s="20" t="s">
        <v>34</v>
      </c>
      <c r="O1" s="20" t="s">
        <v>35</v>
      </c>
      <c r="P1" s="20" t="s">
        <v>36</v>
      </c>
      <c r="Q1" s="20" t="s">
        <v>37</v>
      </c>
      <c r="R1" s="20" t="s">
        <v>38</v>
      </c>
    </row>
    <row r="2" spans="1:18" x14ac:dyDescent="0.25">
      <c r="A2" s="18" t="s">
        <v>85</v>
      </c>
      <c r="B2" s="18" t="s">
        <v>72</v>
      </c>
      <c r="C2" s="18" t="s">
        <v>73</v>
      </c>
      <c r="D2" s="18" t="s">
        <v>74</v>
      </c>
      <c r="E2" s="18" t="s">
        <v>75</v>
      </c>
      <c r="F2" s="18"/>
      <c r="G2" s="18">
        <v>5400087825</v>
      </c>
      <c r="H2" s="18" t="s">
        <v>86</v>
      </c>
      <c r="I2" s="18" t="s">
        <v>87</v>
      </c>
      <c r="J2" s="18" t="s">
        <v>76</v>
      </c>
      <c r="K2" s="18">
        <v>700329328</v>
      </c>
      <c r="L2" s="18">
        <v>3.1</v>
      </c>
      <c r="M2" s="18">
        <v>80273</v>
      </c>
      <c r="N2" s="18">
        <v>1</v>
      </c>
      <c r="O2" s="18">
        <v>19.14</v>
      </c>
      <c r="P2" s="18">
        <v>19.14</v>
      </c>
      <c r="Q2" s="18">
        <v>84159000</v>
      </c>
      <c r="R2" s="18" t="s">
        <v>80</v>
      </c>
    </row>
    <row r="3" spans="1:18" x14ac:dyDescent="0.25">
      <c r="A3" s="18" t="s">
        <v>77</v>
      </c>
      <c r="B3" s="18" t="s">
        <v>72</v>
      </c>
      <c r="C3" s="18" t="s">
        <v>73</v>
      </c>
      <c r="D3" s="18" t="s">
        <v>74</v>
      </c>
      <c r="E3" s="18" t="s">
        <v>75</v>
      </c>
      <c r="F3" s="18"/>
      <c r="G3" s="18">
        <v>5401158306</v>
      </c>
      <c r="H3" s="18" t="s">
        <v>83</v>
      </c>
      <c r="I3" s="18" t="s">
        <v>84</v>
      </c>
      <c r="J3" s="18" t="s">
        <v>76</v>
      </c>
      <c r="K3" s="18">
        <v>700329349</v>
      </c>
      <c r="L3" s="18">
        <v>1.1000000000000001</v>
      </c>
      <c r="M3" s="18">
        <v>80295</v>
      </c>
      <c r="N3" s="18">
        <v>1</v>
      </c>
      <c r="O3" s="18">
        <v>72.790000000000006</v>
      </c>
      <c r="P3" s="18">
        <v>72.790000000000006</v>
      </c>
      <c r="Q3" s="18">
        <v>84159000</v>
      </c>
      <c r="R3" s="18" t="s">
        <v>80</v>
      </c>
    </row>
    <row r="4" spans="1:18" x14ac:dyDescent="0.25">
      <c r="A4" s="18" t="s">
        <v>77</v>
      </c>
      <c r="B4" s="18" t="s">
        <v>72</v>
      </c>
      <c r="C4" s="18" t="s">
        <v>73</v>
      </c>
      <c r="D4" s="18" t="s">
        <v>74</v>
      </c>
      <c r="E4" s="18" t="s">
        <v>75</v>
      </c>
      <c r="F4" s="18"/>
      <c r="G4" s="18">
        <v>5400322302</v>
      </c>
      <c r="H4" s="18" t="s">
        <v>81</v>
      </c>
      <c r="I4" s="18" t="s">
        <v>82</v>
      </c>
      <c r="J4" s="18" t="s">
        <v>76</v>
      </c>
      <c r="K4" s="18">
        <v>700329339</v>
      </c>
      <c r="L4" s="18">
        <v>4.0999999999999996</v>
      </c>
      <c r="M4" s="18">
        <v>80285</v>
      </c>
      <c r="N4" s="18">
        <v>1</v>
      </c>
      <c r="O4" s="18">
        <v>4.49</v>
      </c>
      <c r="P4" s="18">
        <v>4.49</v>
      </c>
      <c r="Q4" s="18">
        <v>84159000</v>
      </c>
      <c r="R4" s="18" t="s">
        <v>80</v>
      </c>
    </row>
    <row r="5" spans="1:18" ht="13.8" thickBot="1" x14ac:dyDescent="0.3">
      <c r="A5" s="19" t="s">
        <v>77</v>
      </c>
      <c r="B5" s="19" t="s">
        <v>72</v>
      </c>
      <c r="C5" s="19" t="s">
        <v>73</v>
      </c>
      <c r="D5" s="19" t="s">
        <v>74</v>
      </c>
      <c r="E5" s="19" t="s">
        <v>75</v>
      </c>
      <c r="F5" s="19"/>
      <c r="G5" s="19">
        <v>5400246101</v>
      </c>
      <c r="H5" s="19" t="s">
        <v>78</v>
      </c>
      <c r="I5" s="19" t="s">
        <v>79</v>
      </c>
      <c r="J5" s="19" t="s">
        <v>76</v>
      </c>
      <c r="K5" s="19">
        <v>700329339</v>
      </c>
      <c r="L5" s="19">
        <v>3.1</v>
      </c>
      <c r="M5" s="19">
        <v>80285</v>
      </c>
      <c r="N5" s="19">
        <v>1</v>
      </c>
      <c r="O5" s="19">
        <v>6.1</v>
      </c>
      <c r="P5" s="19">
        <v>6.1</v>
      </c>
      <c r="Q5" s="19">
        <v>84159000</v>
      </c>
      <c r="R5" s="19" t="s">
        <v>80</v>
      </c>
    </row>
  </sheetData>
  <pageMargins left="0.7" right="0.7" top="0.75" bottom="0.75" header="0.3" footer="0.3"/>
  <pageSetup orientation="portrait" r:id="rId1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HS Codes</vt:lpstr>
      <vt:lpstr>data</vt:lpstr>
      <vt:lpstr>PivotHelp</vt:lpstr>
      <vt:lpstr>HScode form</vt:lpstr>
      <vt:lpstr>KSA-HS CODE</vt:lpstr>
      <vt:lpstr>Help</vt:lpstr>
      <vt:lpstr>DATA DETAILS</vt:lpstr>
      <vt:lpstr>Working</vt:lpstr>
      <vt:lpstr>Sheet2</vt:lpstr>
      <vt:lpstr>'HScode form'!Print_Area</vt:lpstr>
      <vt:lpstr>'HScode form'!Print_Titles</vt:lpstr>
    </vt:vector>
  </TitlesOfParts>
  <Company>LGEGF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</dc:creator>
  <cp:lastModifiedBy>Daas Mourad/Algeria Branch Treasury Part</cp:lastModifiedBy>
  <cp:lastPrinted>2025-05-12T09:12:51Z</cp:lastPrinted>
  <dcterms:created xsi:type="dcterms:W3CDTF">2002-05-21T10:44:41Z</dcterms:created>
  <dcterms:modified xsi:type="dcterms:W3CDTF">2025-07-25T20:11:43Z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2025-07-25T17:37:22Z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d0594d88-d79d-4084-a25b-61b01781f25f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